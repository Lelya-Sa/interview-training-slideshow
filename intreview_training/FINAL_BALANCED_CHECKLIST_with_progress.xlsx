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lelya\Desktop\intreview_training\"/>
    </mc:Choice>
  </mc:AlternateContent>
  <xr:revisionPtr revIDLastSave="0" documentId="13_ncr:1_{19B2CFAD-D342-42CA-BCB6-278219F4CB0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an" sheetId="1" r:id="rId1"/>
    <sheet name="Summary" sheetId="2" r:id="rId2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76" i="1" l="1"/>
  <c r="AA75" i="1"/>
  <c r="AA74" i="1"/>
  <c r="AA73" i="1"/>
  <c r="AA72" i="1"/>
  <c r="AA71" i="1"/>
  <c r="AA70" i="1"/>
  <c r="AA69" i="1"/>
  <c r="AA68" i="1"/>
  <c r="AA67" i="1"/>
  <c r="AA66" i="1"/>
  <c r="AA65" i="1"/>
  <c r="AA64" i="1"/>
  <c r="AA63" i="1"/>
  <c r="AA62" i="1"/>
  <c r="AA61" i="1"/>
  <c r="AA60" i="1"/>
  <c r="AA59" i="1"/>
  <c r="AA58" i="1"/>
  <c r="AA57" i="1"/>
  <c r="AA56" i="1"/>
  <c r="AA55" i="1"/>
  <c r="AA54" i="1"/>
  <c r="AA53" i="1"/>
  <c r="AA52" i="1"/>
  <c r="AA51" i="1"/>
  <c r="AA50" i="1"/>
  <c r="AA49" i="1"/>
  <c r="AA48" i="1"/>
  <c r="AA47" i="1"/>
  <c r="AA46" i="1"/>
  <c r="AA45" i="1"/>
  <c r="AA44" i="1"/>
  <c r="AA43" i="1"/>
  <c r="AA42" i="1"/>
  <c r="AA41" i="1"/>
  <c r="AA40" i="1"/>
  <c r="AA39" i="1"/>
  <c r="AA38" i="1"/>
  <c r="AA37" i="1"/>
  <c r="AA36" i="1"/>
  <c r="AA35" i="1"/>
  <c r="AA34" i="1"/>
  <c r="AA33" i="1"/>
  <c r="AA32" i="1"/>
  <c r="AA31" i="1"/>
  <c r="AA30" i="1"/>
  <c r="AA29" i="1"/>
  <c r="AA28" i="1"/>
  <c r="AA27" i="1"/>
  <c r="AA26" i="1"/>
  <c r="AA25" i="1"/>
  <c r="AA24" i="1"/>
  <c r="AA23" i="1"/>
  <c r="AA22" i="1"/>
  <c r="AA21" i="1"/>
  <c r="AA20" i="1"/>
  <c r="AA19" i="1"/>
  <c r="AA18" i="1"/>
  <c r="AA17" i="1"/>
  <c r="AA16" i="1"/>
  <c r="AA15" i="1"/>
  <c r="AA14" i="1"/>
  <c r="AA13" i="1"/>
  <c r="AA12" i="1"/>
  <c r="AA11" i="1"/>
  <c r="AA10" i="1"/>
  <c r="AA9" i="1"/>
  <c r="AA8" i="1"/>
  <c r="AA7" i="1"/>
  <c r="AA6" i="1"/>
  <c r="AA5" i="1"/>
  <c r="AA4" i="1"/>
  <c r="AA3" i="1"/>
  <c r="AA2" i="1"/>
  <c r="B2" i="2" s="1"/>
</calcChain>
</file>

<file path=xl/sharedStrings.xml><?xml version="1.0" encoding="utf-8"?>
<sst xmlns="http://schemas.openxmlformats.org/spreadsheetml/2006/main" count="753" uniqueCount="131">
  <si>
    <t>Day</t>
  </si>
  <si>
    <t>Date</t>
  </si>
  <si>
    <t>Level</t>
  </si>
  <si>
    <t>Week</t>
  </si>
  <si>
    <t>Core Practice (Daily)</t>
  </si>
  <si>
    <t>Logic Questions</t>
  </si>
  <si>
    <t>LeetCode</t>
  </si>
  <si>
    <t>Data Structures</t>
  </si>
  <si>
    <t>Core Topics Count</t>
  </si>
  <si>
    <t>Core - Critical</t>
  </si>
  <si>
    <t>Core - High</t>
  </si>
  <si>
    <t>Core - Medium</t>
  </si>
  <si>
    <t>Core - Low</t>
  </si>
  <si>
    <t>Core Topics (List)</t>
  </si>
  <si>
    <t>Extra Topics Count</t>
  </si>
  <si>
    <t>Extra Topics (List)</t>
  </si>
  <si>
    <t>Core Time (70-80%)</t>
  </si>
  <si>
    <t>Extra Time (20-30%)</t>
  </si>
  <si>
    <t>Total Time</t>
  </si>
  <si>
    <t>Milestone</t>
  </si>
  <si>
    <t>Completed</t>
  </si>
  <si>
    <t>Notes</t>
  </si>
  <si>
    <t>Chk_Logic</t>
  </si>
  <si>
    <t>Chk_LeetCode</t>
  </si>
  <si>
    <t>Chk_DataStructures</t>
  </si>
  <si>
    <t>Chk_Milestone</t>
  </si>
  <si>
    <t>Row_Progress</t>
  </si>
  <si>
    <t>Level 1: Interview-Ready Basics</t>
  </si>
  <si>
    <t>Logic + LeetCode + Data Structures (60-90 min)</t>
  </si>
  <si>
    <t>2-5 questions</t>
  </si>
  <si>
    <t>1-3 problems</t>
  </si>
  <si>
    <t>Practice/Review</t>
  </si>
  <si>
    <t>Logic Questions; Leetcode; Data Structures; Javascript; React; Nodejs; Rest; Mvc</t>
  </si>
  <si>
    <t>3.5-6.4 hours (70-80%)</t>
  </si>
  <si>
    <t>1-2.4 hours (20-30%)</t>
  </si>
  <si>
    <t>5-8 hours</t>
  </si>
  <si>
    <t>Logic Questions; Leetcode; Data Structures; Javascript; React; Nodejs; Http; Application Layers</t>
  </si>
  <si>
    <t>Logic Questions; Leetcode; Data Structures; Hash Tables; Javascript; React; Es6; Html; Nodejs; Api</t>
  </si>
  <si>
    <t>Logic Questions; Leetcode; Data Structures; Time Complexity; Javascript; React; Css; Nodejs; Rest; Mvc</t>
  </si>
  <si>
    <t>Logic Questions; Leetcode; Data Structures; Hash Tables; Javascript; React; Html; Nodejs; Http</t>
  </si>
  <si>
    <t>Logic Questions; Leetcode; Data Structures; Javascript; React; Es6; Css; Nodejs; Rest</t>
  </si>
  <si>
    <t>Logic Questions; Leetcode; Data Structures; Javascript; React; Nodejs; Rest; Api; Mvc</t>
  </si>
  <si>
    <t>Logic Questions; Leetcode; Data Structures; Time Complexity; Binary Trees; Javascript; React; Html; Nodejs; Backend Services</t>
  </si>
  <si>
    <t>Logic Questions; Leetcode; Data Structures; Hash Tables; Javascript; React; Es6; Nodejs; Graphql; Bff</t>
  </si>
  <si>
    <t>Logic Questions; Leetcode; Data Structures; Javascript; React; Css; Nodejs; Rest; Data Model; Mvc</t>
  </si>
  <si>
    <t>Logic Questions; Leetcode; Data Structures; Javascript; React; Html; Nodejs; Storage; Http; Api</t>
  </si>
  <si>
    <t>Logic Questions; Leetcode; Data Structures; Time Complexity; Binary Trees; Javascript; React; Es6; Nodejs; Rest</t>
  </si>
  <si>
    <t>Authentication Authorization; Jwt; Docker; Cicd</t>
  </si>
  <si>
    <t>Logic Questions; Leetcode; Data Structures; Hash Tables; Javascript; React; Nodejs; Queues; Ajax; Mongodb</t>
  </si>
  <si>
    <t>Logic Questions; Leetcode; Data Structures; Javascript; React; Css; Nodejs; Rest; Http; Headers</t>
  </si>
  <si>
    <t>Interview-Ready!</t>
  </si>
  <si>
    <t>Level 2: Solid Foundation</t>
  </si>
  <si>
    <t>Logic Questions; Leetcode; Data Structures; Javascript; React; Es6; Html; Nodejs; Backend Services; Rest</t>
  </si>
  <si>
    <t>Logic Questions; Leetcode; Data Structures; Time Complexity; Binary Trees; Javascript; React; Css; Nodejs; Integrations</t>
  </si>
  <si>
    <t>Logic Questions; Leetcode; Data Structures; Hash Tables; Javascript; React; Tailwind; Nodejs; Rest; Http</t>
  </si>
  <si>
    <t>Logic Questions; Leetcode; Data Structures; Javascript; React; Es6; Html; Nodejs; Storage; Rest</t>
  </si>
  <si>
    <t>Oauth; Kubernetes</t>
  </si>
  <si>
    <t>Logic Questions; Leetcode; Data Structures; Javascript; React; Css; Nodejs; Rest; Http; Graphql</t>
  </si>
  <si>
    <t>Logic Questions; Leetcode; Data Structures; Time Complexity; Binary Trees; Javascript; React; Spa Ssr Ssg; Nodejs; Queues</t>
  </si>
  <si>
    <t>Authentication Authorization</t>
  </si>
  <si>
    <t>Logic Questions; Leetcode; Data Structures; Hash Tables; Javascript; React; Es6; Nodejs; Rest; Http</t>
  </si>
  <si>
    <t>Jwt</t>
  </si>
  <si>
    <t>Logic Questions; Leetcode; Data Structures; Javascript; React; Html; Nodejs; Backend Services; Rest; Http</t>
  </si>
  <si>
    <t>Scaling</t>
  </si>
  <si>
    <t>Logic Questions; Leetcode; Data Structures; Javascript; React; Css; Nodejs; Integrations; Rest; Http</t>
  </si>
  <si>
    <t>Openid; Docker</t>
  </si>
  <si>
    <t>Logic Questions; Leetcode; Data Structures; Hash Tables; Javascript; React; Html; Nodejs; Storage; Rest</t>
  </si>
  <si>
    <t>Cicd</t>
  </si>
  <si>
    <t>Secure By Design; Failover Load Balancing</t>
  </si>
  <si>
    <t>Logic Questions; Leetcode; Data Structures; Javascript; React; Es6; Nodejs; Queues; Rest; Http</t>
  </si>
  <si>
    <t>Oauth</t>
  </si>
  <si>
    <t>Logic Questions; Leetcode; Data Structures; Time Complexity; Binary Trees; Javascript; React; Nodejs; Rest; Http</t>
  </si>
  <si>
    <t>Authentication Authorization; Security Keys</t>
  </si>
  <si>
    <t>Solid Foundation Complete</t>
  </si>
  <si>
    <t>Level 3: Intermediate Mastery</t>
  </si>
  <si>
    <t>Logic Questions; Leetcode; Data Structures; Hash Tables; Nodejs; Backend Services; Bff; Mongodb; System Design; Factory</t>
  </si>
  <si>
    <t>Logic Questions; Leetcode; Data Structures; Tailwind; Nodejs; Integrations; Sql Vs Nosql; Postgresql; System Design; Onion Architecture</t>
  </si>
  <si>
    <t>Jwt; Kubernetes; Observability</t>
  </si>
  <si>
    <t>Logic Questions; Leetcode; Data Structures; Nodejs; Redis; System Design; System Architecture; Strategy</t>
  </si>
  <si>
    <t>Logic Questions; Leetcode; Data Structures; Time Complexity; Binary Trees; Javascript; React; Nodejs; Storage; Rest</t>
  </si>
  <si>
    <t>Logic Questions; Leetcode; Data Structures; Hash Tables; Nodejs; Graphql; Sql Vs Nosql; Postgresql; Mongodb; System Design</t>
  </si>
  <si>
    <t>Openid</t>
  </si>
  <si>
    <t>Logic Questions; Leetcode; Data Structures; Spa Ssr Ssg; Nodejs; Queues; Ajax; Data Model; System Design; Strategy</t>
  </si>
  <si>
    <t>Logic Questions; Leetcode; Data Structures; Nodejs; Headers; Grpc; Redis; System Design; System Architecture; Project Architecture</t>
  </si>
  <si>
    <t>Secure By Design</t>
  </si>
  <si>
    <t>Logic Questions; Leetcode; Data Structures; Time Complexity; Binary Trees; Javascript; React; Nodejs; Backend Services; Rest</t>
  </si>
  <si>
    <t>Authentication Authorization; Oauth; Docker</t>
  </si>
  <si>
    <t>Logic Questions; Leetcode; Data Structures; Hash Tables; Nodejs; Integrations; Https; Mongodb; System Design; Application Layers</t>
  </si>
  <si>
    <t>Security Keys</t>
  </si>
  <si>
    <t>Logic Questions; Leetcode; Data Structures; Nodejs; Webhooks; Sharding Replication Caching; System Design; Oop</t>
  </si>
  <si>
    <t>Cicd; Failover Load Balancing</t>
  </si>
  <si>
    <t>Logic Questions; Leetcode; Data Structures; Nodejs; Storage; Sql Vs Nosql; Postgresql; Redis; System Design; System Architecture</t>
  </si>
  <si>
    <t>Logic Questions; Leetcode; Data Structures; Time Complexity; Binary Trees; Javascript; React; Nodejs; Rest; Graphql</t>
  </si>
  <si>
    <t>Logic Questions; Leetcode; Data Structures; Nodejs; Queues; Mongodb; System Design</t>
  </si>
  <si>
    <t>Logic Questions; Leetcode; Data Structures; Nodejs; Sql Vs Nosql; Postgresql; System Design; Project Architecture</t>
  </si>
  <si>
    <t>Openid; Kubernetes; Observability</t>
  </si>
  <si>
    <t>Logic Questions; Leetcode; Data Structures; Nodejs; Backend Services; Redis; System Design</t>
  </si>
  <si>
    <t>Logic Questions; Leetcode; Data Structures; Time Complexity; Binary Trees; Javascript; React; Nodejs; Integrations; Rest</t>
  </si>
  <si>
    <t>Authentication Authorization; Secure By Design; Qa</t>
  </si>
  <si>
    <t>Logic Questions; Leetcode; Data Structures; Nodejs; Sql Vs Nosql; Mongodb; System Design</t>
  </si>
  <si>
    <t>Intermediate Mastery Complete</t>
  </si>
  <si>
    <t>Level 4: Advanced Skills</t>
  </si>
  <si>
    <t>Logic Questions; Leetcode; Data Structures; Storage; Data Model; System Design</t>
  </si>
  <si>
    <t>Security Keys; Scaling; Event Sourcing</t>
  </si>
  <si>
    <t>Logic Questions; Leetcode; Data Structures; System Design</t>
  </si>
  <si>
    <t>Logic Questions; Leetcode; Data Structures; Time Complexity; Javascript; React; Spa Ssr Ssg; Nodejs; Queues; Grpc</t>
  </si>
  <si>
    <t>Jwt; Docker; Cqrs</t>
  </si>
  <si>
    <t>Failover Load Balancing; Qa</t>
  </si>
  <si>
    <t>Openid; Cicd</t>
  </si>
  <si>
    <t>Logic Questions; Leetcode; Data Structures; Time Complexity; Javascript; React; Nodejs; System Design</t>
  </si>
  <si>
    <t>Authentication Authorization; Event Sourcing</t>
  </si>
  <si>
    <t>Oauth; Kubernetes; Observability; Cqrs</t>
  </si>
  <si>
    <t>Security Keys; Adrs</t>
  </si>
  <si>
    <t>C4 Model</t>
  </si>
  <si>
    <t>Scaling; Event Sourcing</t>
  </si>
  <si>
    <t>Openid; Docker; Cqrs; Qa</t>
  </si>
  <si>
    <t>Advanced Skills Complete</t>
  </si>
  <si>
    <t>Level 5: Expert Level</t>
  </si>
  <si>
    <t>Failover Load Balancing</t>
  </si>
  <si>
    <t>Cicd; Event Sourcing</t>
  </si>
  <si>
    <t>Adrs</t>
  </si>
  <si>
    <t>Kubernetes; Observability; Cqrs; C4 Model</t>
  </si>
  <si>
    <t>Scaling; Event Sourcing; Qa</t>
  </si>
  <si>
    <t>Cqrs</t>
  </si>
  <si>
    <t>Observability; Adrs; C4 Model; Qa</t>
  </si>
  <si>
    <t>Expert Level - Ace Any Interview!</t>
  </si>
  <si>
    <t>Metric</t>
  </si>
  <si>
    <t>Value</t>
  </si>
  <si>
    <t>Overall Progress</t>
  </si>
  <si>
    <t>Last updated:</t>
  </si>
  <si>
    <t>2026-01-13 18:23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</si>
</sst>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9" fontId="0" fillId="0" borderId="0" xfId="0" applyNumberFormat="1"/>
    <xf numFmtId="0" fontId="0" fillId="0" borderId="0" xfId="0" applyAlignment="1">
      <alignment horizontal="left" wrapText="1" shrinkToFit="1" readingOrder="1"/>
    </xf>
    <xf numFmtId="9" fontId="0" fillId="0" borderId="0" xfId="0" applyNumberFormat="1" applyAlignment="1">
      <alignment horizontal="left" wrapText="1" shrinkToFit="1" readingOrder="1"/>
    </xf>
    <xf numFmtId="14" fontId="0" fillId="0" borderId="0" xfId="0" applyNumberFormat="1" applyAlignment="1">
      <alignment horizontal="left" wrapText="1" shrinkToFit="1" readingOrder="1"/>
    </xf>
  </cellXfs>
  <cellStyles count="1">
    <cellStyle name="Normal" xfId="0" builtinId="0"/>
  </cellStyles>
  <dxfs count="28">
    <dxf>
      <alignment horizontal="left" vertical="bottom" textRotation="0" wrapText="1" indent="0" justifyLastLine="0" shrinkToFit="1" readingOrder="1"/>
    </dxf>
    <dxf>
      <alignment horizontal="left" vertical="bottom" textRotation="0" wrapText="1" indent="0" justifyLastLine="0" shrinkToFit="1" readingOrder="1"/>
    </dxf>
    <dxf>
      <alignment horizontal="left" vertical="bottom" textRotation="0" wrapText="1" indent="0" justifyLastLine="0" shrinkToFit="1" readingOrder="1"/>
    </dxf>
    <dxf>
      <alignment horizontal="left" vertical="bottom" textRotation="0" wrapText="1" indent="0" justifyLastLine="0" shrinkToFit="1" readingOrder="1"/>
    </dxf>
    <dxf>
      <alignment horizontal="left" vertical="bottom" textRotation="0" wrapText="1" indent="0" justifyLastLine="0" shrinkToFit="1" readingOrder="1"/>
    </dxf>
    <dxf>
      <alignment horizontal="left" vertical="bottom" textRotation="0" wrapText="1" indent="0" justifyLastLine="0" shrinkToFit="1" readingOrder="1"/>
    </dxf>
    <dxf>
      <alignment horizontal="left" vertical="bottom" textRotation="0" wrapText="1" indent="0" justifyLastLine="0" shrinkToFit="1" readingOrder="1"/>
    </dxf>
    <dxf>
      <alignment horizontal="left" vertical="bottom" textRotation="0" wrapText="1" indent="0" justifyLastLine="0" shrinkToFit="1" readingOrder="1"/>
    </dxf>
    <dxf>
      <alignment horizontal="left" vertical="bottom" textRotation="0" wrapText="1" indent="0" justifyLastLine="0" shrinkToFit="1" readingOrder="1"/>
    </dxf>
    <dxf>
      <alignment horizontal="left" vertical="bottom" textRotation="0" wrapText="1" indent="0" justifyLastLine="0" shrinkToFit="1" readingOrder="1"/>
    </dxf>
    <dxf>
      <alignment horizontal="left" vertical="bottom" textRotation="0" wrapText="1" indent="0" justifyLastLine="0" shrinkToFit="1" readingOrder="1"/>
    </dxf>
    <dxf>
      <alignment horizontal="left" vertical="bottom" textRotation="0" wrapText="1" indent="0" justifyLastLine="0" shrinkToFit="1" readingOrder="1"/>
    </dxf>
    <dxf>
      <alignment horizontal="left" vertical="bottom" textRotation="0" wrapText="1" indent="0" justifyLastLine="0" shrinkToFit="1" readingOrder="1"/>
    </dxf>
    <dxf>
      <alignment horizontal="left" vertical="bottom" textRotation="0" wrapText="1" indent="0" justifyLastLine="0" shrinkToFit="1" readingOrder="1"/>
    </dxf>
    <dxf>
      <alignment horizontal="left" vertical="bottom" textRotation="0" wrapText="1" indent="0" justifyLastLine="0" shrinkToFit="1" readingOrder="1"/>
    </dxf>
    <dxf>
      <alignment horizontal="left" vertical="bottom" textRotation="0" wrapText="1" indent="0" justifyLastLine="0" shrinkToFit="1" readingOrder="1"/>
    </dxf>
    <dxf>
      <alignment horizontal="left" vertical="bottom" textRotation="0" wrapText="1" indent="0" justifyLastLine="0" shrinkToFit="1" readingOrder="1"/>
    </dxf>
    <dxf>
      <alignment horizontal="left" vertical="bottom" textRotation="0" wrapText="1" indent="0" justifyLastLine="0" shrinkToFit="1" readingOrder="1"/>
    </dxf>
    <dxf>
      <alignment horizontal="left" vertical="bottom" textRotation="0" wrapText="1" indent="0" justifyLastLine="0" shrinkToFit="1" readingOrder="1"/>
    </dxf>
    <dxf>
      <alignment horizontal="left" vertical="bottom" textRotation="0" wrapText="1" indent="0" justifyLastLine="0" shrinkToFit="1" readingOrder="1"/>
    </dxf>
    <dxf>
      <alignment horizontal="left" vertical="bottom" textRotation="0" wrapText="1" indent="0" justifyLastLine="0" shrinkToFit="1" readingOrder="1"/>
    </dxf>
    <dxf>
      <alignment horizontal="left" vertical="bottom" textRotation="0" wrapText="1" indent="0" justifyLastLine="0" shrinkToFit="1" readingOrder="1"/>
    </dxf>
    <dxf>
      <alignment horizontal="left" vertical="bottom" textRotation="0" wrapText="1" indent="0" justifyLastLine="0" shrinkToFit="1" readingOrder="1"/>
    </dxf>
    <dxf>
      <alignment horizontal="left" vertical="bottom" textRotation="0" wrapText="1" indent="0" justifyLastLine="0" shrinkToFit="1" readingOrder="1"/>
    </dxf>
    <dxf>
      <alignment horizontal="left" vertical="bottom" textRotation="0" wrapText="1" indent="0" justifyLastLine="0" shrinkToFit="1" readingOrder="1"/>
    </dxf>
    <dxf>
      <alignment horizontal="left" vertical="bottom" textRotation="0" wrapText="1" indent="0" justifyLastLine="0" shrinkToFit="1" readingOrder="1"/>
    </dxf>
    <dxf>
      <alignment horizontal="left" vertical="bottom" textRotation="0" wrapText="1" indent="0" justifyLastLine="0" shrinkToFit="1" readingOrder="1"/>
    </dxf>
    <dxf>
      <alignment horizontal="left" vertical="bottom" textRotation="0" wrapText="1" indent="0" justifyLastLine="0" shrinkToFit="1" readingOrder="1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PlanTable" displayName="PlanTable" ref="A1:AA76" dataDxfId="27">
  <autoFilter ref="A1:AA76" xr:uid="{00000000-0009-0000-0100-000001000000}"/>
  <tableColumns count="27">
    <tableColumn id="1" xr3:uid="{00000000-0010-0000-0000-000001000000}" name="Day" dataDxfId="26"/>
    <tableColumn id="2" xr3:uid="{00000000-0010-0000-0000-000002000000}" name="Date" dataDxfId="25"/>
    <tableColumn id="3" xr3:uid="{00000000-0010-0000-0000-000003000000}" name="Level" dataDxfId="24"/>
    <tableColumn id="4" xr3:uid="{00000000-0010-0000-0000-000004000000}" name="Week" dataDxfId="23"/>
    <tableColumn id="5" xr3:uid="{00000000-0010-0000-0000-000005000000}" name="Core Practice (Daily)" dataDxfId="22"/>
    <tableColumn id="6" xr3:uid="{00000000-0010-0000-0000-000006000000}" name="Logic Questions" dataDxfId="21"/>
    <tableColumn id="7" xr3:uid="{00000000-0010-0000-0000-000007000000}" name="LeetCode" dataDxfId="20"/>
    <tableColumn id="8" xr3:uid="{00000000-0010-0000-0000-000008000000}" name="Data Structures" dataDxfId="19"/>
    <tableColumn id="9" xr3:uid="{00000000-0010-0000-0000-000009000000}" name="Core Topics Count" dataDxfId="18"/>
    <tableColumn id="10" xr3:uid="{00000000-0010-0000-0000-00000A000000}" name="Core - Critical" dataDxfId="17"/>
    <tableColumn id="11" xr3:uid="{00000000-0010-0000-0000-00000B000000}" name="Core - High" dataDxfId="16"/>
    <tableColumn id="12" xr3:uid="{00000000-0010-0000-0000-00000C000000}" name="Core - Medium" dataDxfId="15"/>
    <tableColumn id="13" xr3:uid="{00000000-0010-0000-0000-00000D000000}" name="Core - Low" dataDxfId="14"/>
    <tableColumn id="14" xr3:uid="{00000000-0010-0000-0000-00000E000000}" name="Core Topics (List)" dataDxfId="13"/>
    <tableColumn id="15" xr3:uid="{00000000-0010-0000-0000-00000F000000}" name="Extra Topics Count" dataDxfId="12"/>
    <tableColumn id="16" xr3:uid="{00000000-0010-0000-0000-000010000000}" name="Extra Topics (List)" dataDxfId="11"/>
    <tableColumn id="17" xr3:uid="{00000000-0010-0000-0000-000011000000}" name="Core Time (70-80%)" dataDxfId="10"/>
    <tableColumn id="18" xr3:uid="{00000000-0010-0000-0000-000012000000}" name="Extra Time (20-30%)" dataDxfId="9"/>
    <tableColumn id="19" xr3:uid="{00000000-0010-0000-0000-000013000000}" name="Total Time" dataDxfId="8"/>
    <tableColumn id="20" xr3:uid="{00000000-0010-0000-0000-000014000000}" name="Milestone" dataDxfId="7"/>
    <tableColumn id="21" xr3:uid="{00000000-0010-0000-0000-000015000000}" name="Completed" dataDxfId="6"/>
    <tableColumn id="22" xr3:uid="{00000000-0010-0000-0000-000016000000}" name="Notes" dataDxfId="5"/>
    <tableColumn id="23" xr3:uid="{00000000-0010-0000-0000-000017000000}" name="Chk_Logic" dataDxfId="4"/>
    <tableColumn id="24" xr3:uid="{00000000-0010-0000-0000-000018000000}" name="Chk_LeetCode" dataDxfId="3"/>
    <tableColumn id="25" xr3:uid="{00000000-0010-0000-0000-000019000000}" name="Chk_DataStructures" dataDxfId="2"/>
    <tableColumn id="26" xr3:uid="{00000000-0010-0000-0000-00001A000000}" name="Chk_Milestone" dataDxfId="1"/>
    <tableColumn id="27" xr3:uid="{00000000-0010-0000-0000-00001B000000}" name="Row_Progress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76"/>
  <sheetViews>
    <sheetView tabSelected="1" zoomScale="72" workbookViewId="0">
      <pane xSplit="1" ySplit="1" topLeftCell="B2" activePane="bottomRight" state="frozen"/>
      <selection pane="topRight"/>
      <selection pane="bottomLeft"/>
      <selection pane="bottomRight" activeCell="B3" sqref="B3"/>
    </sheetView>
  </sheetViews>
  <sheetFormatPr defaultRowHeight="14.5" x14ac:dyDescent="0.35"/>
  <cols>
    <col min="3" max="3" width="14" customWidth="1"/>
    <col min="5" max="5" width="23.54296875" customWidth="1"/>
    <col min="6" max="6" width="10.08984375" customWidth="1"/>
    <col min="7" max="7" width="10.6328125" customWidth="1"/>
    <col min="8" max="8" width="11.7265625" customWidth="1"/>
    <col min="9" max="9" width="10.26953125" customWidth="1"/>
    <col min="11" max="11" width="11.6328125" customWidth="1"/>
    <col min="12" max="12" width="11.81640625" customWidth="1"/>
    <col min="13" max="13" width="16.54296875" customWidth="1"/>
    <col min="14" max="14" width="27.54296875" customWidth="1"/>
  </cols>
  <sheetData>
    <row r="1" spans="1:2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ht="62" customHeight="1" x14ac:dyDescent="0.35">
      <c r="A2" s="3">
        <v>1</v>
      </c>
      <c r="B2" s="5">
        <v>46037</v>
      </c>
      <c r="C2" s="3" t="s">
        <v>27</v>
      </c>
      <c r="D2" s="3">
        <v>1</v>
      </c>
      <c r="E2" s="3" t="s">
        <v>28</v>
      </c>
      <c r="F2" s="3" t="s">
        <v>29</v>
      </c>
      <c r="G2" s="3" t="s">
        <v>30</v>
      </c>
      <c r="H2" s="3" t="s">
        <v>31</v>
      </c>
      <c r="I2" s="3">
        <v>8</v>
      </c>
      <c r="J2" s="3">
        <v>7</v>
      </c>
      <c r="K2" s="3">
        <v>1</v>
      </c>
      <c r="L2" s="3">
        <v>0</v>
      </c>
      <c r="M2" s="3">
        <v>0</v>
      </c>
      <c r="N2" s="3" t="s">
        <v>32</v>
      </c>
      <c r="O2" s="3">
        <v>0</v>
      </c>
      <c r="P2" s="3"/>
      <c r="Q2" s="3" t="s">
        <v>33</v>
      </c>
      <c r="R2" s="3" t="s">
        <v>34</v>
      </c>
      <c r="S2" s="3" t="s">
        <v>35</v>
      </c>
      <c r="T2" s="3"/>
      <c r="U2" s="3"/>
      <c r="V2" s="3"/>
      <c r="W2" s="3" t="b">
        <v>0</v>
      </c>
      <c r="X2" s="3"/>
      <c r="Y2" s="3"/>
      <c r="Z2" s="3"/>
      <c r="AA2" s="4">
        <f t="shared" ref="AA2:AA33" si="0">IFERROR(COUNTIF(W2:Z2,TRUE) / IF(T2="",3,4),0)</f>
        <v>0</v>
      </c>
    </row>
    <row r="3" spans="1:27" ht="58" x14ac:dyDescent="0.35">
      <c r="A3" s="3">
        <v>2</v>
      </c>
      <c r="B3" s="5">
        <v>46038</v>
      </c>
      <c r="C3" s="3" t="s">
        <v>27</v>
      </c>
      <c r="D3" s="3">
        <v>1</v>
      </c>
      <c r="E3" s="3" t="s">
        <v>28</v>
      </c>
      <c r="F3" s="3" t="s">
        <v>29</v>
      </c>
      <c r="G3" s="3" t="s">
        <v>30</v>
      </c>
      <c r="H3" s="3" t="s">
        <v>31</v>
      </c>
      <c r="I3" s="3">
        <v>8</v>
      </c>
      <c r="J3" s="3">
        <v>6</v>
      </c>
      <c r="K3" s="3">
        <v>1</v>
      </c>
      <c r="L3" s="3">
        <v>1</v>
      </c>
      <c r="M3" s="3">
        <v>0</v>
      </c>
      <c r="N3" s="3" t="s">
        <v>36</v>
      </c>
      <c r="O3" s="3">
        <v>0</v>
      </c>
      <c r="P3" s="3"/>
      <c r="Q3" s="3" t="s">
        <v>33</v>
      </c>
      <c r="R3" s="3" t="s">
        <v>34</v>
      </c>
      <c r="S3" s="3" t="s">
        <v>35</v>
      </c>
      <c r="T3" s="3"/>
      <c r="U3" s="3"/>
      <c r="V3" s="3"/>
      <c r="W3" s="3"/>
      <c r="X3" s="3"/>
      <c r="Y3" s="3"/>
      <c r="Z3" s="3"/>
      <c r="AA3" s="4">
        <f t="shared" si="0"/>
        <v>0</v>
      </c>
    </row>
    <row r="4" spans="1:27" ht="58" x14ac:dyDescent="0.35">
      <c r="A4" s="3">
        <v>3</v>
      </c>
      <c r="B4" s="5">
        <v>46039</v>
      </c>
      <c r="C4" s="3" t="s">
        <v>27</v>
      </c>
      <c r="D4" s="3">
        <v>1</v>
      </c>
      <c r="E4" s="3" t="s">
        <v>28</v>
      </c>
      <c r="F4" s="3" t="s">
        <v>29</v>
      </c>
      <c r="G4" s="3" t="s">
        <v>30</v>
      </c>
      <c r="H4" s="3" t="s">
        <v>31</v>
      </c>
      <c r="I4" s="3">
        <v>10</v>
      </c>
      <c r="J4" s="3">
        <v>6</v>
      </c>
      <c r="K4" s="3">
        <v>2</v>
      </c>
      <c r="L4" s="3">
        <v>2</v>
      </c>
      <c r="M4" s="3">
        <v>0</v>
      </c>
      <c r="N4" s="3" t="s">
        <v>37</v>
      </c>
      <c r="O4" s="3">
        <v>0</v>
      </c>
      <c r="P4" s="3"/>
      <c r="Q4" s="3" t="s">
        <v>33</v>
      </c>
      <c r="R4" s="3" t="s">
        <v>34</v>
      </c>
      <c r="S4" s="3" t="s">
        <v>35</v>
      </c>
      <c r="T4" s="3"/>
      <c r="U4" s="3"/>
      <c r="V4" s="3"/>
      <c r="W4" s="3"/>
      <c r="X4" s="3"/>
      <c r="Y4" s="3"/>
      <c r="Z4" s="3"/>
      <c r="AA4" s="4">
        <f t="shared" si="0"/>
        <v>0</v>
      </c>
    </row>
    <row r="5" spans="1:27" ht="58" x14ac:dyDescent="0.35">
      <c r="A5" s="3">
        <v>4</v>
      </c>
      <c r="B5" s="5">
        <v>46040</v>
      </c>
      <c r="C5" s="3" t="s">
        <v>27</v>
      </c>
      <c r="D5" s="3">
        <v>1</v>
      </c>
      <c r="E5" s="3" t="s">
        <v>28</v>
      </c>
      <c r="F5" s="3" t="s">
        <v>29</v>
      </c>
      <c r="G5" s="3" t="s">
        <v>30</v>
      </c>
      <c r="H5" s="3" t="s">
        <v>31</v>
      </c>
      <c r="I5" s="3">
        <v>10</v>
      </c>
      <c r="J5" s="3">
        <v>7</v>
      </c>
      <c r="K5" s="3">
        <v>2</v>
      </c>
      <c r="L5" s="3">
        <v>1</v>
      </c>
      <c r="M5" s="3">
        <v>0</v>
      </c>
      <c r="N5" s="3" t="s">
        <v>38</v>
      </c>
      <c r="O5" s="3">
        <v>0</v>
      </c>
      <c r="P5" s="3"/>
      <c r="Q5" s="3" t="s">
        <v>33</v>
      </c>
      <c r="R5" s="3" t="s">
        <v>34</v>
      </c>
      <c r="S5" s="3" t="s">
        <v>35</v>
      </c>
      <c r="T5" s="3"/>
      <c r="U5" s="3"/>
      <c r="V5" s="3"/>
      <c r="W5" s="3"/>
      <c r="X5" s="3"/>
      <c r="Y5" s="3"/>
      <c r="Z5" s="3"/>
      <c r="AA5" s="4">
        <f t="shared" si="0"/>
        <v>0</v>
      </c>
    </row>
    <row r="6" spans="1:27" ht="58" x14ac:dyDescent="0.35">
      <c r="A6" s="3">
        <v>5</v>
      </c>
      <c r="B6" s="5">
        <v>46041</v>
      </c>
      <c r="C6" s="3" t="s">
        <v>27</v>
      </c>
      <c r="D6" s="3">
        <v>1</v>
      </c>
      <c r="E6" s="3" t="s">
        <v>28</v>
      </c>
      <c r="F6" s="3" t="s">
        <v>29</v>
      </c>
      <c r="G6" s="3" t="s">
        <v>30</v>
      </c>
      <c r="H6" s="3" t="s">
        <v>31</v>
      </c>
      <c r="I6" s="3">
        <v>9</v>
      </c>
      <c r="J6" s="3">
        <v>6</v>
      </c>
      <c r="K6" s="3">
        <v>2</v>
      </c>
      <c r="L6" s="3">
        <v>1</v>
      </c>
      <c r="M6" s="3">
        <v>0</v>
      </c>
      <c r="N6" s="3" t="s">
        <v>39</v>
      </c>
      <c r="O6" s="3">
        <v>0</v>
      </c>
      <c r="P6" s="3"/>
      <c r="Q6" s="3" t="s">
        <v>33</v>
      </c>
      <c r="R6" s="3" t="s">
        <v>34</v>
      </c>
      <c r="S6" s="3" t="s">
        <v>35</v>
      </c>
      <c r="T6" s="3"/>
      <c r="U6" s="3"/>
      <c r="V6" s="3"/>
      <c r="W6" s="3"/>
      <c r="X6" s="3"/>
      <c r="Y6" s="3"/>
      <c r="Z6" s="3"/>
      <c r="AA6" s="4">
        <f t="shared" si="0"/>
        <v>0</v>
      </c>
    </row>
    <row r="7" spans="1:27" ht="43.5" x14ac:dyDescent="0.35">
      <c r="A7" s="3">
        <v>6</v>
      </c>
      <c r="B7" s="5">
        <v>46042</v>
      </c>
      <c r="C7" s="3" t="s">
        <v>27</v>
      </c>
      <c r="D7" s="3">
        <v>1</v>
      </c>
      <c r="E7" s="3" t="s">
        <v>28</v>
      </c>
      <c r="F7" s="3" t="s">
        <v>29</v>
      </c>
      <c r="G7" s="3" t="s">
        <v>30</v>
      </c>
      <c r="H7" s="3" t="s">
        <v>31</v>
      </c>
      <c r="I7" s="3">
        <v>9</v>
      </c>
      <c r="J7" s="3">
        <v>7</v>
      </c>
      <c r="K7" s="3">
        <v>1</v>
      </c>
      <c r="L7" s="3">
        <v>1</v>
      </c>
      <c r="M7" s="3">
        <v>0</v>
      </c>
      <c r="N7" s="3" t="s">
        <v>40</v>
      </c>
      <c r="O7" s="3">
        <v>0</v>
      </c>
      <c r="P7" s="3"/>
      <c r="Q7" s="3" t="s">
        <v>33</v>
      </c>
      <c r="R7" s="3" t="s">
        <v>34</v>
      </c>
      <c r="S7" s="3" t="s">
        <v>35</v>
      </c>
      <c r="T7" s="3"/>
      <c r="U7" s="3"/>
      <c r="V7" s="3"/>
      <c r="W7" s="3"/>
      <c r="X7" s="3"/>
      <c r="Y7" s="3"/>
      <c r="Z7" s="3"/>
      <c r="AA7" s="4">
        <f t="shared" si="0"/>
        <v>0</v>
      </c>
    </row>
    <row r="8" spans="1:27" ht="43.5" x14ac:dyDescent="0.35">
      <c r="A8" s="3">
        <v>7</v>
      </c>
      <c r="B8" s="5">
        <v>46043</v>
      </c>
      <c r="C8" s="3" t="s">
        <v>27</v>
      </c>
      <c r="D8" s="3">
        <v>1</v>
      </c>
      <c r="E8" s="3" t="s">
        <v>28</v>
      </c>
      <c r="F8" s="3" t="s">
        <v>29</v>
      </c>
      <c r="G8" s="3" t="s">
        <v>30</v>
      </c>
      <c r="H8" s="3" t="s">
        <v>31</v>
      </c>
      <c r="I8" s="3">
        <v>9</v>
      </c>
      <c r="J8" s="3">
        <v>7</v>
      </c>
      <c r="K8" s="3">
        <v>1</v>
      </c>
      <c r="L8" s="3">
        <v>1</v>
      </c>
      <c r="M8" s="3">
        <v>0</v>
      </c>
      <c r="N8" s="3" t="s">
        <v>41</v>
      </c>
      <c r="O8" s="3">
        <v>0</v>
      </c>
      <c r="P8" s="3"/>
      <c r="Q8" s="3" t="s">
        <v>33</v>
      </c>
      <c r="R8" s="3" t="s">
        <v>34</v>
      </c>
      <c r="S8" s="3" t="s">
        <v>35</v>
      </c>
      <c r="T8" s="3"/>
      <c r="U8" s="3"/>
      <c r="V8" s="3"/>
      <c r="W8" s="3"/>
      <c r="X8" s="3"/>
      <c r="Y8" s="3"/>
      <c r="Z8" s="3"/>
      <c r="AA8" s="4">
        <f t="shared" si="0"/>
        <v>0</v>
      </c>
    </row>
    <row r="9" spans="1:27" ht="58" x14ac:dyDescent="0.35">
      <c r="A9" s="3">
        <v>8</v>
      </c>
      <c r="B9" s="5">
        <v>46044</v>
      </c>
      <c r="C9" s="3" t="s">
        <v>27</v>
      </c>
      <c r="D9" s="3">
        <v>2</v>
      </c>
      <c r="E9" s="3" t="s">
        <v>28</v>
      </c>
      <c r="F9" s="3" t="s">
        <v>29</v>
      </c>
      <c r="G9" s="3" t="s">
        <v>30</v>
      </c>
      <c r="H9" s="3" t="s">
        <v>31</v>
      </c>
      <c r="I9" s="3">
        <v>12</v>
      </c>
      <c r="J9" s="3">
        <v>7</v>
      </c>
      <c r="K9" s="3">
        <v>3</v>
      </c>
      <c r="L9" s="3">
        <v>2</v>
      </c>
      <c r="M9" s="3">
        <v>0</v>
      </c>
      <c r="N9" s="3" t="s">
        <v>42</v>
      </c>
      <c r="O9" s="3">
        <v>0</v>
      </c>
      <c r="P9" s="3"/>
      <c r="Q9" s="3" t="s">
        <v>33</v>
      </c>
      <c r="R9" s="3" t="s">
        <v>34</v>
      </c>
      <c r="S9" s="3" t="s">
        <v>35</v>
      </c>
      <c r="T9" s="3"/>
      <c r="U9" s="3"/>
      <c r="V9" s="3"/>
      <c r="W9" s="3"/>
      <c r="X9" s="3"/>
      <c r="Y9" s="3"/>
      <c r="Z9" s="3"/>
      <c r="AA9" s="4">
        <f t="shared" si="0"/>
        <v>0</v>
      </c>
    </row>
    <row r="10" spans="1:27" ht="58" x14ac:dyDescent="0.35">
      <c r="A10" s="3">
        <v>9</v>
      </c>
      <c r="B10" s="5">
        <v>46045</v>
      </c>
      <c r="C10" s="3" t="s">
        <v>27</v>
      </c>
      <c r="D10" s="3">
        <v>2</v>
      </c>
      <c r="E10" s="3" t="s">
        <v>28</v>
      </c>
      <c r="F10" s="3" t="s">
        <v>29</v>
      </c>
      <c r="G10" s="3" t="s">
        <v>30</v>
      </c>
      <c r="H10" s="3" t="s">
        <v>31</v>
      </c>
      <c r="I10" s="3">
        <v>14</v>
      </c>
      <c r="J10" s="3">
        <v>7</v>
      </c>
      <c r="K10" s="3">
        <v>4</v>
      </c>
      <c r="L10" s="3">
        <v>2</v>
      </c>
      <c r="M10" s="3">
        <v>1</v>
      </c>
      <c r="N10" s="3" t="s">
        <v>43</v>
      </c>
      <c r="O10" s="3">
        <v>0</v>
      </c>
      <c r="P10" s="3"/>
      <c r="Q10" s="3" t="s">
        <v>33</v>
      </c>
      <c r="R10" s="3" t="s">
        <v>34</v>
      </c>
      <c r="S10" s="3" t="s">
        <v>35</v>
      </c>
      <c r="T10" s="3"/>
      <c r="U10" s="3"/>
      <c r="V10" s="3"/>
      <c r="W10" s="3"/>
      <c r="X10" s="3"/>
      <c r="Y10" s="3"/>
      <c r="Z10" s="3"/>
      <c r="AA10" s="4">
        <f t="shared" si="0"/>
        <v>0</v>
      </c>
    </row>
    <row r="11" spans="1:27" ht="58" x14ac:dyDescent="0.35">
      <c r="A11" s="3">
        <v>10</v>
      </c>
      <c r="B11" s="5">
        <v>46046</v>
      </c>
      <c r="C11" s="3" t="s">
        <v>27</v>
      </c>
      <c r="D11" s="3">
        <v>2</v>
      </c>
      <c r="E11" s="3" t="s">
        <v>28</v>
      </c>
      <c r="F11" s="3" t="s">
        <v>29</v>
      </c>
      <c r="G11" s="3" t="s">
        <v>30</v>
      </c>
      <c r="H11" s="3" t="s">
        <v>31</v>
      </c>
      <c r="I11" s="3">
        <v>14</v>
      </c>
      <c r="J11" s="3">
        <v>7</v>
      </c>
      <c r="K11" s="3">
        <v>4</v>
      </c>
      <c r="L11" s="3">
        <v>3</v>
      </c>
      <c r="M11" s="3">
        <v>0</v>
      </c>
      <c r="N11" s="3" t="s">
        <v>44</v>
      </c>
      <c r="O11" s="3">
        <v>0</v>
      </c>
      <c r="P11" s="3"/>
      <c r="Q11" s="3" t="s">
        <v>33</v>
      </c>
      <c r="R11" s="3" t="s">
        <v>34</v>
      </c>
      <c r="S11" s="3" t="s">
        <v>35</v>
      </c>
      <c r="T11" s="3"/>
      <c r="U11" s="3"/>
      <c r="V11" s="3"/>
      <c r="W11" s="3"/>
      <c r="X11" s="3"/>
      <c r="Y11" s="3"/>
      <c r="Z11" s="3"/>
      <c r="AA11" s="4">
        <f t="shared" si="0"/>
        <v>0</v>
      </c>
    </row>
    <row r="12" spans="1:27" ht="43.5" x14ac:dyDescent="0.35">
      <c r="A12" s="3">
        <v>11</v>
      </c>
      <c r="B12" s="5">
        <v>46047</v>
      </c>
      <c r="C12" s="3" t="s">
        <v>27</v>
      </c>
      <c r="D12" s="3">
        <v>2</v>
      </c>
      <c r="E12" s="3" t="s">
        <v>28</v>
      </c>
      <c r="F12" s="3" t="s">
        <v>29</v>
      </c>
      <c r="G12" s="3" t="s">
        <v>30</v>
      </c>
      <c r="H12" s="3" t="s">
        <v>31</v>
      </c>
      <c r="I12" s="3">
        <v>13</v>
      </c>
      <c r="J12" s="3">
        <v>7</v>
      </c>
      <c r="K12" s="3">
        <v>1</v>
      </c>
      <c r="L12" s="3">
        <v>5</v>
      </c>
      <c r="M12" s="3">
        <v>0</v>
      </c>
      <c r="N12" s="3" t="s">
        <v>45</v>
      </c>
      <c r="O12" s="3">
        <v>0</v>
      </c>
      <c r="P12" s="3"/>
      <c r="Q12" s="3" t="s">
        <v>33</v>
      </c>
      <c r="R12" s="3" t="s">
        <v>34</v>
      </c>
      <c r="S12" s="3" t="s">
        <v>35</v>
      </c>
      <c r="T12" s="3"/>
      <c r="U12" s="3"/>
      <c r="V12" s="3"/>
      <c r="W12" s="3"/>
      <c r="X12" s="3"/>
      <c r="Y12" s="3"/>
      <c r="Z12" s="3"/>
      <c r="AA12" s="4">
        <f t="shared" si="0"/>
        <v>0</v>
      </c>
    </row>
    <row r="13" spans="1:27" ht="101.5" x14ac:dyDescent="0.35">
      <c r="A13" s="3">
        <v>12</v>
      </c>
      <c r="B13" s="5">
        <v>46048</v>
      </c>
      <c r="C13" s="3" t="s">
        <v>27</v>
      </c>
      <c r="D13" s="3">
        <v>2</v>
      </c>
      <c r="E13" s="3" t="s">
        <v>28</v>
      </c>
      <c r="F13" s="3" t="s">
        <v>29</v>
      </c>
      <c r="G13" s="3" t="s">
        <v>30</v>
      </c>
      <c r="H13" s="3" t="s">
        <v>31</v>
      </c>
      <c r="I13" s="3">
        <v>14</v>
      </c>
      <c r="J13" s="3">
        <v>9</v>
      </c>
      <c r="K13" s="3">
        <v>4</v>
      </c>
      <c r="L13" s="3">
        <v>1</v>
      </c>
      <c r="M13" s="3">
        <v>0</v>
      </c>
      <c r="N13" s="3" t="s">
        <v>46</v>
      </c>
      <c r="O13" s="3">
        <v>4</v>
      </c>
      <c r="P13" s="3" t="s">
        <v>47</v>
      </c>
      <c r="Q13" s="3" t="s">
        <v>33</v>
      </c>
      <c r="R13" s="3" t="s">
        <v>34</v>
      </c>
      <c r="S13" s="3" t="s">
        <v>35</v>
      </c>
      <c r="T13" s="3"/>
      <c r="U13" s="3"/>
      <c r="V13" s="3"/>
      <c r="W13" s="3"/>
      <c r="X13" s="3"/>
      <c r="Y13" s="3"/>
      <c r="Z13" s="3"/>
      <c r="AA13" s="4">
        <f t="shared" si="0"/>
        <v>0</v>
      </c>
    </row>
    <row r="14" spans="1:27" ht="58" x14ac:dyDescent="0.35">
      <c r="A14" s="3">
        <v>13</v>
      </c>
      <c r="B14" s="5">
        <v>46049</v>
      </c>
      <c r="C14" s="3" t="s">
        <v>27</v>
      </c>
      <c r="D14" s="3">
        <v>2</v>
      </c>
      <c r="E14" s="3" t="s">
        <v>28</v>
      </c>
      <c r="F14" s="3" t="s">
        <v>29</v>
      </c>
      <c r="G14" s="3" t="s">
        <v>30</v>
      </c>
      <c r="H14" s="3" t="s">
        <v>31</v>
      </c>
      <c r="I14" s="3">
        <v>13</v>
      </c>
      <c r="J14" s="3">
        <v>7</v>
      </c>
      <c r="K14" s="3">
        <v>4</v>
      </c>
      <c r="L14" s="3">
        <v>0</v>
      </c>
      <c r="M14" s="3">
        <v>2</v>
      </c>
      <c r="N14" s="3" t="s">
        <v>48</v>
      </c>
      <c r="O14" s="3">
        <v>0</v>
      </c>
      <c r="P14" s="3"/>
      <c r="Q14" s="3" t="s">
        <v>33</v>
      </c>
      <c r="R14" s="3" t="s">
        <v>34</v>
      </c>
      <c r="S14" s="3" t="s">
        <v>35</v>
      </c>
      <c r="T14" s="3"/>
      <c r="U14" s="3"/>
      <c r="V14" s="3"/>
      <c r="W14" s="3"/>
      <c r="X14" s="3"/>
      <c r="Y14" s="3"/>
      <c r="Z14" s="3"/>
      <c r="AA14" s="4">
        <f t="shared" si="0"/>
        <v>0</v>
      </c>
    </row>
    <row r="15" spans="1:27" ht="58" x14ac:dyDescent="0.35">
      <c r="A15" s="3">
        <v>14</v>
      </c>
      <c r="B15" s="5">
        <v>46050</v>
      </c>
      <c r="C15" s="3" t="s">
        <v>27</v>
      </c>
      <c r="D15" s="3">
        <v>2</v>
      </c>
      <c r="E15" s="3" t="s">
        <v>28</v>
      </c>
      <c r="F15" s="3" t="s">
        <v>29</v>
      </c>
      <c r="G15" s="3" t="s">
        <v>30</v>
      </c>
      <c r="H15" s="3" t="s">
        <v>31</v>
      </c>
      <c r="I15" s="3">
        <v>15</v>
      </c>
      <c r="J15" s="3">
        <v>8</v>
      </c>
      <c r="K15" s="3">
        <v>2</v>
      </c>
      <c r="L15" s="3">
        <v>3</v>
      </c>
      <c r="M15" s="3">
        <v>2</v>
      </c>
      <c r="N15" s="3" t="s">
        <v>49</v>
      </c>
      <c r="O15" s="3">
        <v>0</v>
      </c>
      <c r="P15" s="3"/>
      <c r="Q15" s="3" t="s">
        <v>33</v>
      </c>
      <c r="R15" s="3" t="s">
        <v>34</v>
      </c>
      <c r="S15" s="3" t="s">
        <v>35</v>
      </c>
      <c r="T15" s="3" t="s">
        <v>50</v>
      </c>
      <c r="U15" s="3"/>
      <c r="V15" s="3"/>
      <c r="W15" s="3"/>
      <c r="X15" s="3"/>
      <c r="Y15" s="3"/>
      <c r="Z15" s="3"/>
      <c r="AA15" s="4">
        <f t="shared" si="0"/>
        <v>0</v>
      </c>
    </row>
    <row r="16" spans="1:27" ht="58" x14ac:dyDescent="0.35">
      <c r="A16" s="3">
        <v>15</v>
      </c>
      <c r="B16" s="5">
        <v>46051</v>
      </c>
      <c r="C16" s="3" t="s">
        <v>51</v>
      </c>
      <c r="D16" s="3">
        <v>3</v>
      </c>
      <c r="E16" s="3" t="s">
        <v>28</v>
      </c>
      <c r="F16" s="3" t="s">
        <v>29</v>
      </c>
      <c r="G16" s="3" t="s">
        <v>30</v>
      </c>
      <c r="H16" s="3" t="s">
        <v>31</v>
      </c>
      <c r="I16" s="3">
        <v>21</v>
      </c>
      <c r="J16" s="3">
        <v>9</v>
      </c>
      <c r="K16" s="3">
        <v>4</v>
      </c>
      <c r="L16" s="3">
        <v>8</v>
      </c>
      <c r="M16" s="3">
        <v>0</v>
      </c>
      <c r="N16" s="3" t="s">
        <v>52</v>
      </c>
      <c r="O16" s="3">
        <v>0</v>
      </c>
      <c r="P16" s="3"/>
      <c r="Q16" s="3" t="s">
        <v>33</v>
      </c>
      <c r="R16" s="3" t="s">
        <v>34</v>
      </c>
      <c r="S16" s="3" t="s">
        <v>35</v>
      </c>
      <c r="T16" s="3"/>
      <c r="U16" s="3"/>
      <c r="V16" s="3"/>
      <c r="W16" s="3"/>
      <c r="X16" s="3"/>
      <c r="Y16" s="3"/>
      <c r="Z16" s="3"/>
      <c r="AA16" s="4">
        <f t="shared" si="0"/>
        <v>0</v>
      </c>
    </row>
    <row r="17" spans="1:27" ht="58" x14ac:dyDescent="0.35">
      <c r="A17" s="3">
        <v>16</v>
      </c>
      <c r="B17" s="5">
        <v>46052</v>
      </c>
      <c r="C17" s="3" t="s">
        <v>51</v>
      </c>
      <c r="D17" s="3">
        <v>3</v>
      </c>
      <c r="E17" s="3" t="s">
        <v>28</v>
      </c>
      <c r="F17" s="3" t="s">
        <v>29</v>
      </c>
      <c r="G17" s="3" t="s">
        <v>30</v>
      </c>
      <c r="H17" s="3" t="s">
        <v>31</v>
      </c>
      <c r="I17" s="3">
        <v>21</v>
      </c>
      <c r="J17" s="3">
        <v>8</v>
      </c>
      <c r="K17" s="3">
        <v>6</v>
      </c>
      <c r="L17" s="3">
        <v>5</v>
      </c>
      <c r="M17" s="3">
        <v>2</v>
      </c>
      <c r="N17" s="3" t="s">
        <v>53</v>
      </c>
      <c r="O17" s="3">
        <v>0</v>
      </c>
      <c r="P17" s="3"/>
      <c r="Q17" s="3" t="s">
        <v>33</v>
      </c>
      <c r="R17" s="3" t="s">
        <v>34</v>
      </c>
      <c r="S17" s="3" t="s">
        <v>35</v>
      </c>
      <c r="T17" s="3"/>
      <c r="U17" s="3"/>
      <c r="V17" s="3"/>
      <c r="W17" s="3"/>
      <c r="X17" s="3"/>
      <c r="Y17" s="3"/>
      <c r="Z17" s="3"/>
      <c r="AA17" s="4">
        <f t="shared" si="0"/>
        <v>0</v>
      </c>
    </row>
    <row r="18" spans="1:27" ht="58" x14ac:dyDescent="0.35">
      <c r="A18" s="3">
        <v>17</v>
      </c>
      <c r="B18" s="5">
        <v>46053</v>
      </c>
      <c r="C18" s="3" t="s">
        <v>51</v>
      </c>
      <c r="D18" s="3">
        <v>3</v>
      </c>
      <c r="E18" s="3" t="s">
        <v>28</v>
      </c>
      <c r="F18" s="3" t="s">
        <v>29</v>
      </c>
      <c r="G18" s="3" t="s">
        <v>30</v>
      </c>
      <c r="H18" s="3" t="s">
        <v>31</v>
      </c>
      <c r="I18" s="3">
        <v>17</v>
      </c>
      <c r="J18" s="3">
        <v>8</v>
      </c>
      <c r="K18" s="3">
        <v>5</v>
      </c>
      <c r="L18" s="3">
        <v>2</v>
      </c>
      <c r="M18" s="3">
        <v>2</v>
      </c>
      <c r="N18" s="3" t="s">
        <v>54</v>
      </c>
      <c r="O18" s="3">
        <v>0</v>
      </c>
      <c r="P18" s="3"/>
      <c r="Q18" s="3" t="s">
        <v>33</v>
      </c>
      <c r="R18" s="3" t="s">
        <v>34</v>
      </c>
      <c r="S18" s="3" t="s">
        <v>35</v>
      </c>
      <c r="T18" s="3"/>
      <c r="U18" s="3"/>
      <c r="V18" s="3"/>
      <c r="W18" s="3"/>
      <c r="X18" s="3"/>
      <c r="Y18" s="3"/>
      <c r="Z18" s="3"/>
      <c r="AA18" s="4">
        <f t="shared" si="0"/>
        <v>0</v>
      </c>
    </row>
    <row r="19" spans="1:27" ht="43.5" x14ac:dyDescent="0.35">
      <c r="A19" s="3">
        <v>18</v>
      </c>
      <c r="B19" s="5">
        <v>46054</v>
      </c>
      <c r="C19" s="3" t="s">
        <v>51</v>
      </c>
      <c r="D19" s="3">
        <v>3</v>
      </c>
      <c r="E19" s="3" t="s">
        <v>28</v>
      </c>
      <c r="F19" s="3" t="s">
        <v>29</v>
      </c>
      <c r="G19" s="3" t="s">
        <v>30</v>
      </c>
      <c r="H19" s="3" t="s">
        <v>31</v>
      </c>
      <c r="I19" s="3">
        <v>20</v>
      </c>
      <c r="J19" s="3">
        <v>9</v>
      </c>
      <c r="K19" s="3">
        <v>4</v>
      </c>
      <c r="L19" s="3">
        <v>6</v>
      </c>
      <c r="M19" s="3">
        <v>1</v>
      </c>
      <c r="N19" s="3" t="s">
        <v>55</v>
      </c>
      <c r="O19" s="3">
        <v>2</v>
      </c>
      <c r="P19" s="3" t="s">
        <v>56</v>
      </c>
      <c r="Q19" s="3" t="s">
        <v>33</v>
      </c>
      <c r="R19" s="3" t="s">
        <v>34</v>
      </c>
      <c r="S19" s="3" t="s">
        <v>35</v>
      </c>
      <c r="T19" s="3"/>
      <c r="U19" s="3"/>
      <c r="V19" s="3"/>
      <c r="W19" s="3"/>
      <c r="X19" s="3"/>
      <c r="Y19" s="3"/>
      <c r="Z19" s="3"/>
      <c r="AA19" s="4">
        <f t="shared" si="0"/>
        <v>0</v>
      </c>
    </row>
    <row r="20" spans="1:27" ht="43.5" x14ac:dyDescent="0.35">
      <c r="A20" s="3">
        <v>19</v>
      </c>
      <c r="B20" s="5">
        <v>46055</v>
      </c>
      <c r="C20" s="3" t="s">
        <v>51</v>
      </c>
      <c r="D20" s="3">
        <v>3</v>
      </c>
      <c r="E20" s="3" t="s">
        <v>28</v>
      </c>
      <c r="F20" s="3" t="s">
        <v>29</v>
      </c>
      <c r="G20" s="3" t="s">
        <v>30</v>
      </c>
      <c r="H20" s="3" t="s">
        <v>31</v>
      </c>
      <c r="I20" s="3">
        <v>19</v>
      </c>
      <c r="J20" s="3">
        <v>8</v>
      </c>
      <c r="K20" s="3">
        <v>3</v>
      </c>
      <c r="L20" s="3">
        <v>7</v>
      </c>
      <c r="M20" s="3">
        <v>1</v>
      </c>
      <c r="N20" s="3" t="s">
        <v>57</v>
      </c>
      <c r="O20" s="3">
        <v>0</v>
      </c>
      <c r="P20" s="3"/>
      <c r="Q20" s="3" t="s">
        <v>33</v>
      </c>
      <c r="R20" s="3" t="s">
        <v>34</v>
      </c>
      <c r="S20" s="3" t="s">
        <v>35</v>
      </c>
      <c r="T20" s="3"/>
      <c r="U20" s="3"/>
      <c r="V20" s="3"/>
      <c r="W20" s="3"/>
      <c r="X20" s="3"/>
      <c r="Y20" s="3"/>
      <c r="Z20" s="3"/>
      <c r="AA20" s="4">
        <f t="shared" si="0"/>
        <v>0</v>
      </c>
    </row>
    <row r="21" spans="1:27" ht="58" x14ac:dyDescent="0.35">
      <c r="A21" s="3">
        <v>20</v>
      </c>
      <c r="B21" s="5">
        <v>46056</v>
      </c>
      <c r="C21" s="3" t="s">
        <v>51</v>
      </c>
      <c r="D21" s="3">
        <v>3</v>
      </c>
      <c r="E21" s="3" t="s">
        <v>28</v>
      </c>
      <c r="F21" s="3" t="s">
        <v>29</v>
      </c>
      <c r="G21" s="3" t="s">
        <v>30</v>
      </c>
      <c r="H21" s="3" t="s">
        <v>31</v>
      </c>
      <c r="I21" s="3">
        <v>20</v>
      </c>
      <c r="J21" s="3">
        <v>8</v>
      </c>
      <c r="K21" s="3">
        <v>5</v>
      </c>
      <c r="L21" s="3">
        <v>3</v>
      </c>
      <c r="M21" s="3">
        <v>4</v>
      </c>
      <c r="N21" s="3" t="s">
        <v>58</v>
      </c>
      <c r="O21" s="3">
        <v>1</v>
      </c>
      <c r="P21" s="3" t="s">
        <v>59</v>
      </c>
      <c r="Q21" s="3" t="s">
        <v>33</v>
      </c>
      <c r="R21" s="3" t="s">
        <v>34</v>
      </c>
      <c r="S21" s="3" t="s">
        <v>35</v>
      </c>
      <c r="T21" s="3"/>
      <c r="U21" s="3"/>
      <c r="V21" s="3"/>
      <c r="W21" s="3"/>
      <c r="X21" s="3"/>
      <c r="Y21" s="3"/>
      <c r="Z21" s="3"/>
      <c r="AA21" s="4">
        <f t="shared" si="0"/>
        <v>0</v>
      </c>
    </row>
    <row r="22" spans="1:27" ht="58" x14ac:dyDescent="0.35">
      <c r="A22" s="3">
        <v>21</v>
      </c>
      <c r="B22" s="5">
        <v>46057</v>
      </c>
      <c r="C22" s="3" t="s">
        <v>51</v>
      </c>
      <c r="D22" s="3">
        <v>3</v>
      </c>
      <c r="E22" s="3" t="s">
        <v>28</v>
      </c>
      <c r="F22" s="3" t="s">
        <v>29</v>
      </c>
      <c r="G22" s="3" t="s">
        <v>30</v>
      </c>
      <c r="H22" s="3" t="s">
        <v>31</v>
      </c>
      <c r="I22" s="3">
        <v>19</v>
      </c>
      <c r="J22" s="3">
        <v>9</v>
      </c>
      <c r="K22" s="3">
        <v>6</v>
      </c>
      <c r="L22" s="3">
        <v>2</v>
      </c>
      <c r="M22" s="3">
        <v>2</v>
      </c>
      <c r="N22" s="3" t="s">
        <v>60</v>
      </c>
      <c r="O22" s="3">
        <v>1</v>
      </c>
      <c r="P22" s="3" t="s">
        <v>61</v>
      </c>
      <c r="Q22" s="3" t="s">
        <v>33</v>
      </c>
      <c r="R22" s="3" t="s">
        <v>34</v>
      </c>
      <c r="S22" s="3" t="s">
        <v>35</v>
      </c>
      <c r="T22" s="3"/>
      <c r="U22" s="3"/>
      <c r="V22" s="3"/>
      <c r="W22" s="3"/>
      <c r="X22" s="3"/>
      <c r="Y22" s="3"/>
      <c r="Z22" s="3"/>
      <c r="AA22" s="4">
        <f t="shared" si="0"/>
        <v>0</v>
      </c>
    </row>
    <row r="23" spans="1:27" ht="58" x14ac:dyDescent="0.35">
      <c r="A23" s="3">
        <v>22</v>
      </c>
      <c r="B23" s="5">
        <v>46058</v>
      </c>
      <c r="C23" s="3" t="s">
        <v>51</v>
      </c>
      <c r="D23" s="3">
        <v>4</v>
      </c>
      <c r="E23" s="3" t="s">
        <v>28</v>
      </c>
      <c r="F23" s="3" t="s">
        <v>29</v>
      </c>
      <c r="G23" s="3" t="s">
        <v>30</v>
      </c>
      <c r="H23" s="3" t="s">
        <v>31</v>
      </c>
      <c r="I23" s="3">
        <v>19</v>
      </c>
      <c r="J23" s="3">
        <v>8</v>
      </c>
      <c r="K23" s="3">
        <v>4</v>
      </c>
      <c r="L23" s="3">
        <v>6</v>
      </c>
      <c r="M23" s="3">
        <v>1</v>
      </c>
      <c r="N23" s="3" t="s">
        <v>62</v>
      </c>
      <c r="O23" s="3">
        <v>1</v>
      </c>
      <c r="P23" s="3" t="s">
        <v>63</v>
      </c>
      <c r="Q23" s="3" t="s">
        <v>33</v>
      </c>
      <c r="R23" s="3" t="s">
        <v>34</v>
      </c>
      <c r="S23" s="3" t="s">
        <v>35</v>
      </c>
      <c r="T23" s="3"/>
      <c r="U23" s="3"/>
      <c r="V23" s="3"/>
      <c r="W23" s="3"/>
      <c r="X23" s="3"/>
      <c r="Y23" s="3"/>
      <c r="Z23" s="3"/>
      <c r="AA23" s="4">
        <f t="shared" si="0"/>
        <v>0</v>
      </c>
    </row>
    <row r="24" spans="1:27" ht="58" x14ac:dyDescent="0.35">
      <c r="A24" s="3">
        <v>23</v>
      </c>
      <c r="B24" s="5">
        <v>46059</v>
      </c>
      <c r="C24" s="3" t="s">
        <v>51</v>
      </c>
      <c r="D24" s="3">
        <v>4</v>
      </c>
      <c r="E24" s="3" t="s">
        <v>28</v>
      </c>
      <c r="F24" s="3" t="s">
        <v>29</v>
      </c>
      <c r="G24" s="3" t="s">
        <v>30</v>
      </c>
      <c r="H24" s="3" t="s">
        <v>31</v>
      </c>
      <c r="I24" s="3">
        <v>19</v>
      </c>
      <c r="J24" s="3">
        <v>8</v>
      </c>
      <c r="K24" s="3">
        <v>3</v>
      </c>
      <c r="L24" s="3">
        <v>6</v>
      </c>
      <c r="M24" s="3">
        <v>2</v>
      </c>
      <c r="N24" s="3" t="s">
        <v>64</v>
      </c>
      <c r="O24" s="3">
        <v>0</v>
      </c>
      <c r="P24" s="3"/>
      <c r="Q24" s="3" t="s">
        <v>33</v>
      </c>
      <c r="R24" s="3" t="s">
        <v>34</v>
      </c>
      <c r="S24" s="3" t="s">
        <v>35</v>
      </c>
      <c r="T24" s="3"/>
      <c r="U24" s="3"/>
      <c r="V24" s="3"/>
      <c r="W24" s="3"/>
      <c r="X24" s="3"/>
      <c r="Y24" s="3"/>
      <c r="Z24" s="3"/>
      <c r="AA24" s="4">
        <f t="shared" si="0"/>
        <v>0</v>
      </c>
    </row>
    <row r="25" spans="1:27" ht="58" x14ac:dyDescent="0.35">
      <c r="A25" s="3">
        <v>24</v>
      </c>
      <c r="B25" s="5">
        <v>46060</v>
      </c>
      <c r="C25" s="3" t="s">
        <v>51</v>
      </c>
      <c r="D25" s="3">
        <v>4</v>
      </c>
      <c r="E25" s="3" t="s">
        <v>28</v>
      </c>
      <c r="F25" s="3" t="s">
        <v>29</v>
      </c>
      <c r="G25" s="3" t="s">
        <v>30</v>
      </c>
      <c r="H25" s="3" t="s">
        <v>31</v>
      </c>
      <c r="I25" s="3">
        <v>18</v>
      </c>
      <c r="J25" s="3">
        <v>9</v>
      </c>
      <c r="K25" s="3">
        <v>6</v>
      </c>
      <c r="L25" s="3">
        <v>3</v>
      </c>
      <c r="M25" s="3">
        <v>0</v>
      </c>
      <c r="N25" s="3" t="s">
        <v>46</v>
      </c>
      <c r="O25" s="3">
        <v>2</v>
      </c>
      <c r="P25" s="3" t="s">
        <v>65</v>
      </c>
      <c r="Q25" s="3" t="s">
        <v>33</v>
      </c>
      <c r="R25" s="3" t="s">
        <v>34</v>
      </c>
      <c r="S25" s="3" t="s">
        <v>35</v>
      </c>
      <c r="T25" s="3"/>
      <c r="U25" s="3"/>
      <c r="V25" s="3"/>
      <c r="W25" s="3"/>
      <c r="X25" s="3"/>
      <c r="Y25" s="3"/>
      <c r="Z25" s="3"/>
      <c r="AA25" s="4">
        <f t="shared" si="0"/>
        <v>0</v>
      </c>
    </row>
    <row r="26" spans="1:27" ht="58" x14ac:dyDescent="0.35">
      <c r="A26" s="3">
        <v>25</v>
      </c>
      <c r="B26" s="5">
        <v>46061</v>
      </c>
      <c r="C26" s="3" t="s">
        <v>51</v>
      </c>
      <c r="D26" s="3">
        <v>4</v>
      </c>
      <c r="E26" s="3" t="s">
        <v>28</v>
      </c>
      <c r="F26" s="3" t="s">
        <v>29</v>
      </c>
      <c r="G26" s="3" t="s">
        <v>30</v>
      </c>
      <c r="H26" s="3" t="s">
        <v>31</v>
      </c>
      <c r="I26" s="3">
        <v>17</v>
      </c>
      <c r="J26" s="3">
        <v>8</v>
      </c>
      <c r="K26" s="3">
        <v>5</v>
      </c>
      <c r="L26" s="3">
        <v>4</v>
      </c>
      <c r="M26" s="3">
        <v>0</v>
      </c>
      <c r="N26" s="3" t="s">
        <v>66</v>
      </c>
      <c r="O26" s="3">
        <v>1</v>
      </c>
      <c r="P26" s="3" t="s">
        <v>67</v>
      </c>
      <c r="Q26" s="3" t="s">
        <v>33</v>
      </c>
      <c r="R26" s="3" t="s">
        <v>34</v>
      </c>
      <c r="S26" s="3" t="s">
        <v>35</v>
      </c>
      <c r="T26" s="3"/>
      <c r="U26" s="3"/>
      <c r="V26" s="3"/>
      <c r="W26" s="3"/>
      <c r="X26" s="3"/>
      <c r="Y26" s="3"/>
      <c r="Z26" s="3"/>
      <c r="AA26" s="4">
        <f t="shared" si="0"/>
        <v>0</v>
      </c>
    </row>
    <row r="27" spans="1:27" ht="87" x14ac:dyDescent="0.35">
      <c r="A27" s="3">
        <v>26</v>
      </c>
      <c r="B27" s="5">
        <v>46062</v>
      </c>
      <c r="C27" s="3" t="s">
        <v>51</v>
      </c>
      <c r="D27" s="3">
        <v>4</v>
      </c>
      <c r="E27" s="3" t="s">
        <v>28</v>
      </c>
      <c r="F27" s="3" t="s">
        <v>29</v>
      </c>
      <c r="G27" s="3" t="s">
        <v>30</v>
      </c>
      <c r="H27" s="3" t="s">
        <v>31</v>
      </c>
      <c r="I27" s="3">
        <v>18</v>
      </c>
      <c r="J27" s="3">
        <v>8</v>
      </c>
      <c r="K27" s="3">
        <v>3</v>
      </c>
      <c r="L27" s="3">
        <v>5</v>
      </c>
      <c r="M27" s="3">
        <v>2</v>
      </c>
      <c r="N27" s="3" t="s">
        <v>57</v>
      </c>
      <c r="O27" s="3">
        <v>2</v>
      </c>
      <c r="P27" s="3" t="s">
        <v>68</v>
      </c>
      <c r="Q27" s="3" t="s">
        <v>33</v>
      </c>
      <c r="R27" s="3" t="s">
        <v>34</v>
      </c>
      <c r="S27" s="3" t="s">
        <v>35</v>
      </c>
      <c r="T27" s="3"/>
      <c r="U27" s="3"/>
      <c r="V27" s="3"/>
      <c r="W27" s="3"/>
      <c r="X27" s="3"/>
      <c r="Y27" s="3"/>
      <c r="Z27" s="3"/>
      <c r="AA27" s="4">
        <f t="shared" si="0"/>
        <v>0</v>
      </c>
    </row>
    <row r="28" spans="1:27" ht="43.5" x14ac:dyDescent="0.35">
      <c r="A28" s="3">
        <v>27</v>
      </c>
      <c r="B28" s="5">
        <v>46063</v>
      </c>
      <c r="C28" s="3" t="s">
        <v>51</v>
      </c>
      <c r="D28" s="3">
        <v>4</v>
      </c>
      <c r="E28" s="3" t="s">
        <v>28</v>
      </c>
      <c r="F28" s="3" t="s">
        <v>29</v>
      </c>
      <c r="G28" s="3" t="s">
        <v>30</v>
      </c>
      <c r="H28" s="3" t="s">
        <v>31</v>
      </c>
      <c r="I28" s="3">
        <v>21</v>
      </c>
      <c r="J28" s="3">
        <v>9</v>
      </c>
      <c r="K28" s="3">
        <v>4</v>
      </c>
      <c r="L28" s="3">
        <v>6</v>
      </c>
      <c r="M28" s="3">
        <v>2</v>
      </c>
      <c r="N28" s="3" t="s">
        <v>69</v>
      </c>
      <c r="O28" s="3">
        <v>1</v>
      </c>
      <c r="P28" s="3" t="s">
        <v>70</v>
      </c>
      <c r="Q28" s="3" t="s">
        <v>33</v>
      </c>
      <c r="R28" s="3" t="s">
        <v>34</v>
      </c>
      <c r="S28" s="3" t="s">
        <v>35</v>
      </c>
      <c r="T28" s="3"/>
      <c r="U28" s="3"/>
      <c r="V28" s="3"/>
      <c r="W28" s="3"/>
      <c r="X28" s="3"/>
      <c r="Y28" s="3"/>
      <c r="Z28" s="3"/>
      <c r="AA28" s="4">
        <f t="shared" si="0"/>
        <v>0</v>
      </c>
    </row>
    <row r="29" spans="1:27" ht="87" x14ac:dyDescent="0.35">
      <c r="A29" s="3">
        <v>28</v>
      </c>
      <c r="B29" s="5">
        <v>46064</v>
      </c>
      <c r="C29" s="3" t="s">
        <v>51</v>
      </c>
      <c r="D29" s="3">
        <v>4</v>
      </c>
      <c r="E29" s="3" t="s">
        <v>28</v>
      </c>
      <c r="F29" s="3" t="s">
        <v>29</v>
      </c>
      <c r="G29" s="3" t="s">
        <v>30</v>
      </c>
      <c r="H29" s="3" t="s">
        <v>31</v>
      </c>
      <c r="I29" s="3">
        <v>20</v>
      </c>
      <c r="J29" s="3">
        <v>8</v>
      </c>
      <c r="K29" s="3">
        <v>6</v>
      </c>
      <c r="L29" s="3">
        <v>3</v>
      </c>
      <c r="M29" s="3">
        <v>3</v>
      </c>
      <c r="N29" s="3" t="s">
        <v>71</v>
      </c>
      <c r="O29" s="3">
        <v>2</v>
      </c>
      <c r="P29" s="3" t="s">
        <v>72</v>
      </c>
      <c r="Q29" s="3" t="s">
        <v>33</v>
      </c>
      <c r="R29" s="3" t="s">
        <v>34</v>
      </c>
      <c r="S29" s="3" t="s">
        <v>35</v>
      </c>
      <c r="T29" s="3" t="s">
        <v>73</v>
      </c>
      <c r="U29" s="3"/>
      <c r="V29" s="3"/>
      <c r="W29" s="3"/>
      <c r="X29" s="3"/>
      <c r="Y29" s="3"/>
      <c r="Z29" s="3"/>
      <c r="AA29" s="4">
        <f t="shared" si="0"/>
        <v>0</v>
      </c>
    </row>
    <row r="30" spans="1:27" ht="72.5" x14ac:dyDescent="0.35">
      <c r="A30" s="3">
        <v>29</v>
      </c>
      <c r="B30" s="5">
        <v>46065</v>
      </c>
      <c r="C30" s="3" t="s">
        <v>74</v>
      </c>
      <c r="D30" s="3">
        <v>5</v>
      </c>
      <c r="E30" s="3" t="s">
        <v>28</v>
      </c>
      <c r="F30" s="3" t="s">
        <v>29</v>
      </c>
      <c r="G30" s="3" t="s">
        <v>30</v>
      </c>
      <c r="H30" s="3" t="s">
        <v>31</v>
      </c>
      <c r="I30" s="3">
        <v>11</v>
      </c>
      <c r="J30" s="3">
        <v>5</v>
      </c>
      <c r="K30" s="3">
        <v>3</v>
      </c>
      <c r="L30" s="3">
        <v>1</v>
      </c>
      <c r="M30" s="3">
        <v>2</v>
      </c>
      <c r="N30" s="3" t="s">
        <v>75</v>
      </c>
      <c r="O30" s="3">
        <v>0</v>
      </c>
      <c r="P30" s="3"/>
      <c r="Q30" s="3" t="s">
        <v>33</v>
      </c>
      <c r="R30" s="3" t="s">
        <v>34</v>
      </c>
      <c r="S30" s="3" t="s">
        <v>35</v>
      </c>
      <c r="T30" s="3"/>
      <c r="U30" s="3"/>
      <c r="V30" s="3"/>
      <c r="W30" s="3"/>
      <c r="X30" s="3"/>
      <c r="Y30" s="3"/>
      <c r="Z30" s="3"/>
      <c r="AA30" s="4">
        <f t="shared" si="0"/>
        <v>0</v>
      </c>
    </row>
    <row r="31" spans="1:27" ht="72.5" x14ac:dyDescent="0.35">
      <c r="A31" s="3">
        <v>30</v>
      </c>
      <c r="B31" s="5">
        <v>46066</v>
      </c>
      <c r="C31" s="3" t="s">
        <v>74</v>
      </c>
      <c r="D31" s="3">
        <v>5</v>
      </c>
      <c r="E31" s="3" t="s">
        <v>28</v>
      </c>
      <c r="F31" s="3" t="s">
        <v>29</v>
      </c>
      <c r="G31" s="3" t="s">
        <v>30</v>
      </c>
      <c r="H31" s="3" t="s">
        <v>31</v>
      </c>
      <c r="I31" s="3">
        <v>13</v>
      </c>
      <c r="J31" s="3">
        <v>6</v>
      </c>
      <c r="K31" s="3">
        <v>1</v>
      </c>
      <c r="L31" s="3">
        <v>3</v>
      </c>
      <c r="M31" s="3">
        <v>3</v>
      </c>
      <c r="N31" s="3" t="s">
        <v>76</v>
      </c>
      <c r="O31" s="3">
        <v>3</v>
      </c>
      <c r="P31" s="3" t="s">
        <v>77</v>
      </c>
      <c r="Q31" s="3" t="s">
        <v>33</v>
      </c>
      <c r="R31" s="3" t="s">
        <v>34</v>
      </c>
      <c r="S31" s="3" t="s">
        <v>35</v>
      </c>
      <c r="T31" s="3"/>
      <c r="U31" s="3"/>
      <c r="V31" s="3"/>
      <c r="W31" s="3"/>
      <c r="X31" s="3"/>
      <c r="Y31" s="3"/>
      <c r="Z31" s="3"/>
      <c r="AA31" s="4">
        <f t="shared" si="0"/>
        <v>0</v>
      </c>
    </row>
    <row r="32" spans="1:27" ht="58" x14ac:dyDescent="0.35">
      <c r="A32" s="3">
        <v>31</v>
      </c>
      <c r="B32" s="5">
        <v>46067</v>
      </c>
      <c r="C32" s="3" t="s">
        <v>74</v>
      </c>
      <c r="D32" s="3">
        <v>5</v>
      </c>
      <c r="E32" s="3" t="s">
        <v>28</v>
      </c>
      <c r="F32" s="3" t="s">
        <v>29</v>
      </c>
      <c r="G32" s="3" t="s">
        <v>30</v>
      </c>
      <c r="H32" s="3" t="s">
        <v>31</v>
      </c>
      <c r="I32" s="3">
        <v>8</v>
      </c>
      <c r="J32" s="3">
        <v>5</v>
      </c>
      <c r="K32" s="3">
        <v>0</v>
      </c>
      <c r="L32" s="3">
        <v>3</v>
      </c>
      <c r="M32" s="3">
        <v>0</v>
      </c>
      <c r="N32" s="3" t="s">
        <v>78</v>
      </c>
      <c r="O32" s="3">
        <v>0</v>
      </c>
      <c r="P32" s="3"/>
      <c r="Q32" s="3" t="s">
        <v>33</v>
      </c>
      <c r="R32" s="3" t="s">
        <v>34</v>
      </c>
      <c r="S32" s="3" t="s">
        <v>35</v>
      </c>
      <c r="T32" s="3"/>
      <c r="U32" s="3"/>
      <c r="V32" s="3"/>
      <c r="W32" s="3"/>
      <c r="X32" s="3"/>
      <c r="Y32" s="3"/>
      <c r="Z32" s="3"/>
      <c r="AA32" s="4">
        <f t="shared" si="0"/>
        <v>0</v>
      </c>
    </row>
    <row r="33" spans="1:27" ht="58" x14ac:dyDescent="0.35">
      <c r="A33" s="3">
        <v>32</v>
      </c>
      <c r="B33" s="5">
        <v>46068</v>
      </c>
      <c r="C33" s="3" t="s">
        <v>74</v>
      </c>
      <c r="D33" s="3">
        <v>5</v>
      </c>
      <c r="E33" s="3" t="s">
        <v>28</v>
      </c>
      <c r="F33" s="3" t="s">
        <v>29</v>
      </c>
      <c r="G33" s="3" t="s">
        <v>30</v>
      </c>
      <c r="H33" s="3" t="s">
        <v>31</v>
      </c>
      <c r="I33" s="3">
        <v>15</v>
      </c>
      <c r="J33" s="3">
        <v>8</v>
      </c>
      <c r="K33" s="3">
        <v>2</v>
      </c>
      <c r="L33" s="3">
        <v>4</v>
      </c>
      <c r="M33" s="3">
        <v>1</v>
      </c>
      <c r="N33" s="3" t="s">
        <v>79</v>
      </c>
      <c r="O33" s="3">
        <v>0</v>
      </c>
      <c r="P33" s="3"/>
      <c r="Q33" s="3" t="s">
        <v>33</v>
      </c>
      <c r="R33" s="3" t="s">
        <v>34</v>
      </c>
      <c r="S33" s="3" t="s">
        <v>35</v>
      </c>
      <c r="T33" s="3"/>
      <c r="U33" s="3"/>
      <c r="V33" s="3"/>
      <c r="W33" s="3"/>
      <c r="X33" s="3"/>
      <c r="Y33" s="3"/>
      <c r="Z33" s="3"/>
      <c r="AA33" s="4">
        <f t="shared" si="0"/>
        <v>0</v>
      </c>
    </row>
    <row r="34" spans="1:27" ht="72.5" x14ac:dyDescent="0.35">
      <c r="A34" s="3">
        <v>33</v>
      </c>
      <c r="B34" s="5">
        <v>46069</v>
      </c>
      <c r="C34" s="3" t="s">
        <v>74</v>
      </c>
      <c r="D34" s="3">
        <v>5</v>
      </c>
      <c r="E34" s="3" t="s">
        <v>28</v>
      </c>
      <c r="F34" s="3" t="s">
        <v>29</v>
      </c>
      <c r="G34" s="3" t="s">
        <v>30</v>
      </c>
      <c r="H34" s="3" t="s">
        <v>31</v>
      </c>
      <c r="I34" s="3">
        <v>11</v>
      </c>
      <c r="J34" s="3">
        <v>6</v>
      </c>
      <c r="K34" s="3">
        <v>3</v>
      </c>
      <c r="L34" s="3">
        <v>2</v>
      </c>
      <c r="M34" s="3">
        <v>0</v>
      </c>
      <c r="N34" s="3" t="s">
        <v>80</v>
      </c>
      <c r="O34" s="3">
        <v>1</v>
      </c>
      <c r="P34" s="3" t="s">
        <v>81</v>
      </c>
      <c r="Q34" s="3" t="s">
        <v>33</v>
      </c>
      <c r="R34" s="3" t="s">
        <v>34</v>
      </c>
      <c r="S34" s="3" t="s">
        <v>35</v>
      </c>
      <c r="T34" s="3"/>
      <c r="U34" s="3"/>
      <c r="V34" s="3"/>
      <c r="W34" s="3"/>
      <c r="X34" s="3"/>
      <c r="Y34" s="3"/>
      <c r="Z34" s="3"/>
      <c r="AA34" s="4">
        <f t="shared" ref="AA34:AA65" si="1">IFERROR(COUNTIF(W34:Z34,TRUE) / IF(T34="",3,4),0)</f>
        <v>0</v>
      </c>
    </row>
    <row r="35" spans="1:27" ht="58" x14ac:dyDescent="0.35">
      <c r="A35" s="3">
        <v>34</v>
      </c>
      <c r="B35" s="5">
        <v>46070</v>
      </c>
      <c r="C35" s="3" t="s">
        <v>74</v>
      </c>
      <c r="D35" s="3">
        <v>5</v>
      </c>
      <c r="E35" s="3" t="s">
        <v>28</v>
      </c>
      <c r="F35" s="3" t="s">
        <v>29</v>
      </c>
      <c r="G35" s="3" t="s">
        <v>30</v>
      </c>
      <c r="H35" s="3" t="s">
        <v>31</v>
      </c>
      <c r="I35" s="3">
        <v>11</v>
      </c>
      <c r="J35" s="3">
        <v>5</v>
      </c>
      <c r="K35" s="3">
        <v>1</v>
      </c>
      <c r="L35" s="3">
        <v>3</v>
      </c>
      <c r="M35" s="3">
        <v>2</v>
      </c>
      <c r="N35" s="3" t="s">
        <v>82</v>
      </c>
      <c r="O35" s="3">
        <v>1</v>
      </c>
      <c r="P35" s="3" t="s">
        <v>63</v>
      </c>
      <c r="Q35" s="3" t="s">
        <v>33</v>
      </c>
      <c r="R35" s="3" t="s">
        <v>34</v>
      </c>
      <c r="S35" s="3" t="s">
        <v>35</v>
      </c>
      <c r="T35" s="3"/>
      <c r="U35" s="3"/>
      <c r="V35" s="3"/>
      <c r="W35" s="3"/>
      <c r="X35" s="3"/>
      <c r="Y35" s="3"/>
      <c r="Z35" s="3"/>
      <c r="AA35" s="4">
        <f t="shared" si="1"/>
        <v>0</v>
      </c>
    </row>
    <row r="36" spans="1:27" ht="72.5" x14ac:dyDescent="0.35">
      <c r="A36" s="3">
        <v>35</v>
      </c>
      <c r="B36" s="5">
        <v>46071</v>
      </c>
      <c r="C36" s="3" t="s">
        <v>74</v>
      </c>
      <c r="D36" s="3">
        <v>5</v>
      </c>
      <c r="E36" s="3" t="s">
        <v>28</v>
      </c>
      <c r="F36" s="3" t="s">
        <v>29</v>
      </c>
      <c r="G36" s="3" t="s">
        <v>30</v>
      </c>
      <c r="H36" s="3" t="s">
        <v>31</v>
      </c>
      <c r="I36" s="3">
        <v>10</v>
      </c>
      <c r="J36" s="3">
        <v>5</v>
      </c>
      <c r="K36" s="3">
        <v>0</v>
      </c>
      <c r="L36" s="3">
        <v>2</v>
      </c>
      <c r="M36" s="3">
        <v>3</v>
      </c>
      <c r="N36" s="3" t="s">
        <v>83</v>
      </c>
      <c r="O36" s="3">
        <v>1</v>
      </c>
      <c r="P36" s="3" t="s">
        <v>84</v>
      </c>
      <c r="Q36" s="3" t="s">
        <v>33</v>
      </c>
      <c r="R36" s="3" t="s">
        <v>34</v>
      </c>
      <c r="S36" s="3" t="s">
        <v>35</v>
      </c>
      <c r="T36" s="3"/>
      <c r="U36" s="3"/>
      <c r="V36" s="3"/>
      <c r="W36" s="3"/>
      <c r="X36" s="3"/>
      <c r="Y36" s="3"/>
      <c r="Z36" s="3"/>
      <c r="AA36" s="4">
        <f t="shared" si="1"/>
        <v>0</v>
      </c>
    </row>
    <row r="37" spans="1:27" ht="87" x14ac:dyDescent="0.35">
      <c r="A37" s="3">
        <v>36</v>
      </c>
      <c r="B37" s="5">
        <v>46072</v>
      </c>
      <c r="C37" s="3" t="s">
        <v>74</v>
      </c>
      <c r="D37" s="3">
        <v>6</v>
      </c>
      <c r="E37" s="3" t="s">
        <v>28</v>
      </c>
      <c r="F37" s="3" t="s">
        <v>29</v>
      </c>
      <c r="G37" s="3" t="s">
        <v>30</v>
      </c>
      <c r="H37" s="3" t="s">
        <v>31</v>
      </c>
      <c r="I37" s="3">
        <v>15</v>
      </c>
      <c r="J37" s="3">
        <v>9</v>
      </c>
      <c r="K37" s="3">
        <v>3</v>
      </c>
      <c r="L37" s="3">
        <v>2</v>
      </c>
      <c r="M37" s="3">
        <v>1</v>
      </c>
      <c r="N37" s="3" t="s">
        <v>85</v>
      </c>
      <c r="O37" s="3">
        <v>3</v>
      </c>
      <c r="P37" s="3" t="s">
        <v>86</v>
      </c>
      <c r="Q37" s="3" t="s">
        <v>33</v>
      </c>
      <c r="R37" s="3" t="s">
        <v>34</v>
      </c>
      <c r="S37" s="3" t="s">
        <v>35</v>
      </c>
      <c r="T37" s="3"/>
      <c r="U37" s="3"/>
      <c r="V37" s="3"/>
      <c r="W37" s="3"/>
      <c r="X37" s="3"/>
      <c r="Y37" s="3"/>
      <c r="Z37" s="3"/>
      <c r="AA37" s="4">
        <f t="shared" si="1"/>
        <v>0</v>
      </c>
    </row>
    <row r="38" spans="1:27" ht="72.5" x14ac:dyDescent="0.35">
      <c r="A38" s="3">
        <v>37</v>
      </c>
      <c r="B38" s="5">
        <v>46073</v>
      </c>
      <c r="C38" s="3" t="s">
        <v>74</v>
      </c>
      <c r="D38" s="3">
        <v>6</v>
      </c>
      <c r="E38" s="3" t="s">
        <v>28</v>
      </c>
      <c r="F38" s="3" t="s">
        <v>29</v>
      </c>
      <c r="G38" s="3" t="s">
        <v>30</v>
      </c>
      <c r="H38" s="3" t="s">
        <v>31</v>
      </c>
      <c r="I38" s="3">
        <v>10</v>
      </c>
      <c r="J38" s="3">
        <v>5</v>
      </c>
      <c r="K38" s="3">
        <v>2</v>
      </c>
      <c r="L38" s="3">
        <v>2</v>
      </c>
      <c r="M38" s="3">
        <v>1</v>
      </c>
      <c r="N38" s="3" t="s">
        <v>87</v>
      </c>
      <c r="O38" s="3">
        <v>1</v>
      </c>
      <c r="P38" s="3" t="s">
        <v>88</v>
      </c>
      <c r="Q38" s="3" t="s">
        <v>33</v>
      </c>
      <c r="R38" s="3" t="s">
        <v>34</v>
      </c>
      <c r="S38" s="3" t="s">
        <v>35</v>
      </c>
      <c r="T38" s="3"/>
      <c r="U38" s="3"/>
      <c r="V38" s="3"/>
      <c r="W38" s="3"/>
      <c r="X38" s="3"/>
      <c r="Y38" s="3"/>
      <c r="Z38" s="3"/>
      <c r="AA38" s="4">
        <f t="shared" si="1"/>
        <v>0</v>
      </c>
    </row>
    <row r="39" spans="1:27" ht="58" x14ac:dyDescent="0.35">
      <c r="A39" s="3">
        <v>38</v>
      </c>
      <c r="B39" s="5">
        <v>46074</v>
      </c>
      <c r="C39" s="3" t="s">
        <v>74</v>
      </c>
      <c r="D39" s="3">
        <v>6</v>
      </c>
      <c r="E39" s="3" t="s">
        <v>28</v>
      </c>
      <c r="F39" s="3" t="s">
        <v>29</v>
      </c>
      <c r="G39" s="3" t="s">
        <v>30</v>
      </c>
      <c r="H39" s="3" t="s">
        <v>31</v>
      </c>
      <c r="I39" s="3">
        <v>8</v>
      </c>
      <c r="J39" s="3">
        <v>5</v>
      </c>
      <c r="K39" s="3">
        <v>0</v>
      </c>
      <c r="L39" s="3">
        <v>2</v>
      </c>
      <c r="M39" s="3">
        <v>1</v>
      </c>
      <c r="N39" s="3" t="s">
        <v>89</v>
      </c>
      <c r="O39" s="3">
        <v>2</v>
      </c>
      <c r="P39" s="3" t="s">
        <v>90</v>
      </c>
      <c r="Q39" s="3" t="s">
        <v>33</v>
      </c>
      <c r="R39" s="3" t="s">
        <v>34</v>
      </c>
      <c r="S39" s="3" t="s">
        <v>35</v>
      </c>
      <c r="T39" s="3"/>
      <c r="U39" s="3"/>
      <c r="V39" s="3"/>
      <c r="W39" s="3"/>
      <c r="X39" s="3"/>
      <c r="Y39" s="3"/>
      <c r="Z39" s="3"/>
      <c r="AA39" s="4">
        <f t="shared" si="1"/>
        <v>0</v>
      </c>
    </row>
    <row r="40" spans="1:27" ht="72.5" x14ac:dyDescent="0.35">
      <c r="A40" s="3">
        <v>39</v>
      </c>
      <c r="B40" s="5">
        <v>46075</v>
      </c>
      <c r="C40" s="3" t="s">
        <v>74</v>
      </c>
      <c r="D40" s="3">
        <v>6</v>
      </c>
      <c r="E40" s="3" t="s">
        <v>28</v>
      </c>
      <c r="F40" s="3" t="s">
        <v>29</v>
      </c>
      <c r="G40" s="3" t="s">
        <v>30</v>
      </c>
      <c r="H40" s="3" t="s">
        <v>31</v>
      </c>
      <c r="I40" s="3">
        <v>10</v>
      </c>
      <c r="J40" s="3">
        <v>6</v>
      </c>
      <c r="K40" s="3">
        <v>1</v>
      </c>
      <c r="L40" s="3">
        <v>3</v>
      </c>
      <c r="M40" s="3">
        <v>0</v>
      </c>
      <c r="N40" s="3" t="s">
        <v>91</v>
      </c>
      <c r="O40" s="3">
        <v>1</v>
      </c>
      <c r="P40" s="3" t="s">
        <v>61</v>
      </c>
      <c r="Q40" s="3" t="s">
        <v>33</v>
      </c>
      <c r="R40" s="3" t="s">
        <v>34</v>
      </c>
      <c r="S40" s="3" t="s">
        <v>35</v>
      </c>
      <c r="T40" s="3"/>
      <c r="U40" s="3"/>
      <c r="V40" s="3"/>
      <c r="W40" s="3"/>
      <c r="X40" s="3"/>
      <c r="Y40" s="3"/>
      <c r="Z40" s="3"/>
      <c r="AA40" s="4">
        <f t="shared" si="1"/>
        <v>0</v>
      </c>
    </row>
    <row r="41" spans="1:27" ht="58" x14ac:dyDescent="0.35">
      <c r="A41" s="3">
        <v>40</v>
      </c>
      <c r="B41" s="5">
        <v>46076</v>
      </c>
      <c r="C41" s="3" t="s">
        <v>74</v>
      </c>
      <c r="D41" s="3">
        <v>6</v>
      </c>
      <c r="E41" s="3" t="s">
        <v>28</v>
      </c>
      <c r="F41" s="3" t="s">
        <v>29</v>
      </c>
      <c r="G41" s="3" t="s">
        <v>30</v>
      </c>
      <c r="H41" s="3" t="s">
        <v>31</v>
      </c>
      <c r="I41" s="3">
        <v>13</v>
      </c>
      <c r="J41" s="3">
        <v>8</v>
      </c>
      <c r="K41" s="3">
        <v>3</v>
      </c>
      <c r="L41" s="3">
        <v>2</v>
      </c>
      <c r="M41" s="3">
        <v>0</v>
      </c>
      <c r="N41" s="3" t="s">
        <v>92</v>
      </c>
      <c r="O41" s="3">
        <v>0</v>
      </c>
      <c r="P41" s="3"/>
      <c r="Q41" s="3" t="s">
        <v>33</v>
      </c>
      <c r="R41" s="3" t="s">
        <v>34</v>
      </c>
      <c r="S41" s="3" t="s">
        <v>35</v>
      </c>
      <c r="T41" s="3"/>
      <c r="U41" s="3"/>
      <c r="V41" s="3"/>
      <c r="W41" s="3"/>
      <c r="X41" s="3"/>
      <c r="Y41" s="3"/>
      <c r="Z41" s="3"/>
      <c r="AA41" s="4">
        <f t="shared" si="1"/>
        <v>0</v>
      </c>
    </row>
    <row r="42" spans="1:27" ht="43.5" x14ac:dyDescent="0.35">
      <c r="A42" s="3">
        <v>41</v>
      </c>
      <c r="B42" s="5">
        <v>46077</v>
      </c>
      <c r="C42" s="3" t="s">
        <v>74</v>
      </c>
      <c r="D42" s="3">
        <v>6</v>
      </c>
      <c r="E42" s="3" t="s">
        <v>28</v>
      </c>
      <c r="F42" s="3" t="s">
        <v>29</v>
      </c>
      <c r="G42" s="3" t="s">
        <v>30</v>
      </c>
      <c r="H42" s="3" t="s">
        <v>31</v>
      </c>
      <c r="I42" s="3">
        <v>7</v>
      </c>
      <c r="J42" s="3">
        <v>5</v>
      </c>
      <c r="K42" s="3">
        <v>1</v>
      </c>
      <c r="L42" s="3">
        <v>0</v>
      </c>
      <c r="M42" s="3">
        <v>1</v>
      </c>
      <c r="N42" s="3" t="s">
        <v>93</v>
      </c>
      <c r="O42" s="3">
        <v>0</v>
      </c>
      <c r="P42" s="3"/>
      <c r="Q42" s="3" t="s">
        <v>33</v>
      </c>
      <c r="R42" s="3" t="s">
        <v>34</v>
      </c>
      <c r="S42" s="3" t="s">
        <v>35</v>
      </c>
      <c r="T42" s="3"/>
      <c r="U42" s="3"/>
      <c r="V42" s="3"/>
      <c r="W42" s="3"/>
      <c r="X42" s="3"/>
      <c r="Y42" s="3"/>
      <c r="Z42" s="3"/>
      <c r="AA42" s="4">
        <f t="shared" si="1"/>
        <v>0</v>
      </c>
    </row>
    <row r="43" spans="1:27" ht="72.5" x14ac:dyDescent="0.35">
      <c r="A43" s="3">
        <v>42</v>
      </c>
      <c r="B43" s="5">
        <v>46078</v>
      </c>
      <c r="C43" s="3" t="s">
        <v>74</v>
      </c>
      <c r="D43" s="3">
        <v>6</v>
      </c>
      <c r="E43" s="3" t="s">
        <v>28</v>
      </c>
      <c r="F43" s="3" t="s">
        <v>29</v>
      </c>
      <c r="G43" s="3" t="s">
        <v>30</v>
      </c>
      <c r="H43" s="3" t="s">
        <v>31</v>
      </c>
      <c r="I43" s="3">
        <v>8</v>
      </c>
      <c r="J43" s="3">
        <v>6</v>
      </c>
      <c r="K43" s="3">
        <v>1</v>
      </c>
      <c r="L43" s="3">
        <v>0</v>
      </c>
      <c r="M43" s="3">
        <v>1</v>
      </c>
      <c r="N43" s="3" t="s">
        <v>94</v>
      </c>
      <c r="O43" s="3">
        <v>3</v>
      </c>
      <c r="P43" s="3" t="s">
        <v>95</v>
      </c>
      <c r="Q43" s="3" t="s">
        <v>33</v>
      </c>
      <c r="R43" s="3" t="s">
        <v>34</v>
      </c>
      <c r="S43" s="3" t="s">
        <v>35</v>
      </c>
      <c r="T43" s="3"/>
      <c r="U43" s="3"/>
      <c r="V43" s="3"/>
      <c r="W43" s="3"/>
      <c r="X43" s="3"/>
      <c r="Y43" s="3"/>
      <c r="Z43" s="3"/>
      <c r="AA43" s="4">
        <f t="shared" si="1"/>
        <v>0</v>
      </c>
    </row>
    <row r="44" spans="1:27" ht="43.5" x14ac:dyDescent="0.35">
      <c r="A44" s="3">
        <v>43</v>
      </c>
      <c r="B44" s="5">
        <v>46079</v>
      </c>
      <c r="C44" s="3" t="s">
        <v>74</v>
      </c>
      <c r="D44" s="3">
        <v>7</v>
      </c>
      <c r="E44" s="3" t="s">
        <v>28</v>
      </c>
      <c r="F44" s="3" t="s">
        <v>29</v>
      </c>
      <c r="G44" s="3" t="s">
        <v>30</v>
      </c>
      <c r="H44" s="3" t="s">
        <v>31</v>
      </c>
      <c r="I44" s="3">
        <v>7</v>
      </c>
      <c r="J44" s="3">
        <v>5</v>
      </c>
      <c r="K44" s="3">
        <v>0</v>
      </c>
      <c r="L44" s="3">
        <v>2</v>
      </c>
      <c r="M44" s="3">
        <v>0</v>
      </c>
      <c r="N44" s="3" t="s">
        <v>96</v>
      </c>
      <c r="O44" s="3">
        <v>0</v>
      </c>
      <c r="P44" s="3"/>
      <c r="Q44" s="3" t="s">
        <v>33</v>
      </c>
      <c r="R44" s="3" t="s">
        <v>34</v>
      </c>
      <c r="S44" s="3" t="s">
        <v>35</v>
      </c>
      <c r="T44" s="3"/>
      <c r="U44" s="3"/>
      <c r="V44" s="3"/>
      <c r="W44" s="3"/>
      <c r="X44" s="3"/>
      <c r="Y44" s="3"/>
      <c r="Z44" s="3"/>
      <c r="AA44" s="4">
        <f t="shared" si="1"/>
        <v>0</v>
      </c>
    </row>
    <row r="45" spans="1:27" ht="116" x14ac:dyDescent="0.35">
      <c r="A45" s="3">
        <v>44</v>
      </c>
      <c r="B45" s="5">
        <v>46080</v>
      </c>
      <c r="C45" s="3" t="s">
        <v>74</v>
      </c>
      <c r="D45" s="3">
        <v>7</v>
      </c>
      <c r="E45" s="3" t="s">
        <v>28</v>
      </c>
      <c r="F45" s="3" t="s">
        <v>29</v>
      </c>
      <c r="G45" s="3" t="s">
        <v>30</v>
      </c>
      <c r="H45" s="3" t="s">
        <v>31</v>
      </c>
      <c r="I45" s="3">
        <v>12</v>
      </c>
      <c r="J45" s="3">
        <v>8</v>
      </c>
      <c r="K45" s="3">
        <v>2</v>
      </c>
      <c r="L45" s="3">
        <v>1</v>
      </c>
      <c r="M45" s="3">
        <v>1</v>
      </c>
      <c r="N45" s="3" t="s">
        <v>97</v>
      </c>
      <c r="O45" s="3">
        <v>3</v>
      </c>
      <c r="P45" s="3" t="s">
        <v>98</v>
      </c>
      <c r="Q45" s="3" t="s">
        <v>33</v>
      </c>
      <c r="R45" s="3" t="s">
        <v>34</v>
      </c>
      <c r="S45" s="3" t="s">
        <v>35</v>
      </c>
      <c r="T45" s="3"/>
      <c r="U45" s="3"/>
      <c r="V45" s="3"/>
      <c r="W45" s="3"/>
      <c r="X45" s="3"/>
      <c r="Y45" s="3"/>
      <c r="Z45" s="3"/>
      <c r="AA45" s="4">
        <f t="shared" si="1"/>
        <v>0</v>
      </c>
    </row>
    <row r="46" spans="1:27" ht="72.5" x14ac:dyDescent="0.35">
      <c r="A46" s="3">
        <v>45</v>
      </c>
      <c r="B46" s="5">
        <v>46081</v>
      </c>
      <c r="C46" s="3" t="s">
        <v>74</v>
      </c>
      <c r="D46" s="3">
        <v>7</v>
      </c>
      <c r="E46" s="3" t="s">
        <v>28</v>
      </c>
      <c r="F46" s="3" t="s">
        <v>29</v>
      </c>
      <c r="G46" s="3" t="s">
        <v>30</v>
      </c>
      <c r="H46" s="3" t="s">
        <v>31</v>
      </c>
      <c r="I46" s="3">
        <v>7</v>
      </c>
      <c r="J46" s="3">
        <v>6</v>
      </c>
      <c r="K46" s="3">
        <v>1</v>
      </c>
      <c r="L46" s="3">
        <v>0</v>
      </c>
      <c r="M46" s="3">
        <v>0</v>
      </c>
      <c r="N46" s="3" t="s">
        <v>99</v>
      </c>
      <c r="O46" s="3">
        <v>1</v>
      </c>
      <c r="P46" s="3" t="s">
        <v>70</v>
      </c>
      <c r="Q46" s="3" t="s">
        <v>33</v>
      </c>
      <c r="R46" s="3" t="s">
        <v>34</v>
      </c>
      <c r="S46" s="3" t="s">
        <v>35</v>
      </c>
      <c r="T46" s="3" t="s">
        <v>100</v>
      </c>
      <c r="U46" s="3"/>
      <c r="V46" s="3"/>
      <c r="W46" s="3"/>
      <c r="X46" s="3"/>
      <c r="Y46" s="3"/>
      <c r="Z46" s="3"/>
      <c r="AA46" s="4">
        <f t="shared" si="1"/>
        <v>0</v>
      </c>
    </row>
    <row r="47" spans="1:27" ht="72.5" x14ac:dyDescent="0.35">
      <c r="A47" s="3">
        <v>46</v>
      </c>
      <c r="B47" s="5">
        <v>46082</v>
      </c>
      <c r="C47" s="3" t="s">
        <v>101</v>
      </c>
      <c r="D47" s="3">
        <v>7</v>
      </c>
      <c r="E47" s="3" t="s">
        <v>28</v>
      </c>
      <c r="F47" s="3" t="s">
        <v>29</v>
      </c>
      <c r="G47" s="3" t="s">
        <v>30</v>
      </c>
      <c r="H47" s="3" t="s">
        <v>31</v>
      </c>
      <c r="I47" s="3">
        <v>6</v>
      </c>
      <c r="J47" s="3">
        <v>4</v>
      </c>
      <c r="K47" s="3">
        <v>1</v>
      </c>
      <c r="L47" s="3">
        <v>1</v>
      </c>
      <c r="M47" s="3">
        <v>0</v>
      </c>
      <c r="N47" s="3" t="s">
        <v>102</v>
      </c>
      <c r="O47" s="3">
        <v>3</v>
      </c>
      <c r="P47" s="3" t="s">
        <v>103</v>
      </c>
      <c r="Q47" s="3" t="s">
        <v>33</v>
      </c>
      <c r="R47" s="3" t="s">
        <v>34</v>
      </c>
      <c r="S47" s="3" t="s">
        <v>35</v>
      </c>
      <c r="T47" s="3"/>
      <c r="U47" s="3"/>
      <c r="V47" s="3"/>
      <c r="W47" s="3"/>
      <c r="X47" s="3"/>
      <c r="Y47" s="3"/>
      <c r="Z47" s="3"/>
      <c r="AA47" s="4">
        <f t="shared" si="1"/>
        <v>0</v>
      </c>
    </row>
    <row r="48" spans="1:27" ht="43.5" x14ac:dyDescent="0.35">
      <c r="A48" s="3">
        <v>47</v>
      </c>
      <c r="B48" s="5">
        <v>46083</v>
      </c>
      <c r="C48" s="3" t="s">
        <v>101</v>
      </c>
      <c r="D48" s="3">
        <v>7</v>
      </c>
      <c r="E48" s="3" t="s">
        <v>28</v>
      </c>
      <c r="F48" s="3" t="s">
        <v>29</v>
      </c>
      <c r="G48" s="3" t="s">
        <v>30</v>
      </c>
      <c r="H48" s="3" t="s">
        <v>31</v>
      </c>
      <c r="I48" s="3">
        <v>4</v>
      </c>
      <c r="J48" s="3">
        <v>4</v>
      </c>
      <c r="K48" s="3">
        <v>0</v>
      </c>
      <c r="L48" s="3">
        <v>0</v>
      </c>
      <c r="M48" s="3">
        <v>0</v>
      </c>
      <c r="N48" s="3" t="s">
        <v>104</v>
      </c>
      <c r="O48" s="3">
        <v>0</v>
      </c>
      <c r="P48" s="3"/>
      <c r="Q48" s="3" t="s">
        <v>33</v>
      </c>
      <c r="R48" s="3" t="s">
        <v>34</v>
      </c>
      <c r="S48" s="3" t="s">
        <v>35</v>
      </c>
      <c r="T48" s="3"/>
      <c r="U48" s="3"/>
      <c r="V48" s="3"/>
      <c r="W48" s="3"/>
      <c r="X48" s="3"/>
      <c r="Y48" s="3"/>
      <c r="Z48" s="3"/>
      <c r="AA48" s="4">
        <f t="shared" si="1"/>
        <v>0</v>
      </c>
    </row>
    <row r="49" spans="1:27" ht="58" x14ac:dyDescent="0.35">
      <c r="A49" s="3">
        <v>48</v>
      </c>
      <c r="B49" s="5">
        <v>46084</v>
      </c>
      <c r="C49" s="3" t="s">
        <v>101</v>
      </c>
      <c r="D49" s="3">
        <v>7</v>
      </c>
      <c r="E49" s="3" t="s">
        <v>28</v>
      </c>
      <c r="F49" s="3" t="s">
        <v>29</v>
      </c>
      <c r="G49" s="3" t="s">
        <v>30</v>
      </c>
      <c r="H49" s="3" t="s">
        <v>31</v>
      </c>
      <c r="I49" s="3">
        <v>11</v>
      </c>
      <c r="J49" s="3">
        <v>7</v>
      </c>
      <c r="K49" s="3">
        <v>1</v>
      </c>
      <c r="L49" s="3">
        <v>1</v>
      </c>
      <c r="M49" s="3">
        <v>2</v>
      </c>
      <c r="N49" s="3" t="s">
        <v>105</v>
      </c>
      <c r="O49" s="3">
        <v>3</v>
      </c>
      <c r="P49" s="3" t="s">
        <v>106</v>
      </c>
      <c r="Q49" s="3" t="s">
        <v>33</v>
      </c>
      <c r="R49" s="3" t="s">
        <v>34</v>
      </c>
      <c r="S49" s="3" t="s">
        <v>35</v>
      </c>
      <c r="T49" s="3"/>
      <c r="U49" s="3"/>
      <c r="V49" s="3"/>
      <c r="W49" s="3"/>
      <c r="X49" s="3"/>
      <c r="Y49" s="3"/>
      <c r="Z49" s="3"/>
      <c r="AA49" s="4">
        <f t="shared" si="1"/>
        <v>0</v>
      </c>
    </row>
    <row r="50" spans="1:27" ht="43.5" x14ac:dyDescent="0.35">
      <c r="A50" s="3">
        <v>49</v>
      </c>
      <c r="B50" s="5">
        <v>46085</v>
      </c>
      <c r="C50" s="3" t="s">
        <v>101</v>
      </c>
      <c r="D50" s="3">
        <v>7</v>
      </c>
      <c r="E50" s="3" t="s">
        <v>28</v>
      </c>
      <c r="F50" s="3" t="s">
        <v>29</v>
      </c>
      <c r="G50" s="3" t="s">
        <v>30</v>
      </c>
      <c r="H50" s="3" t="s">
        <v>31</v>
      </c>
      <c r="I50" s="3">
        <v>4</v>
      </c>
      <c r="J50" s="3">
        <v>4</v>
      </c>
      <c r="K50" s="3">
        <v>0</v>
      </c>
      <c r="L50" s="3">
        <v>0</v>
      </c>
      <c r="M50" s="3">
        <v>0</v>
      </c>
      <c r="N50" s="3" t="s">
        <v>104</v>
      </c>
      <c r="O50" s="3">
        <v>0</v>
      </c>
      <c r="P50" s="3"/>
      <c r="Q50" s="3" t="s">
        <v>33</v>
      </c>
      <c r="R50" s="3" t="s">
        <v>34</v>
      </c>
      <c r="S50" s="3" t="s">
        <v>35</v>
      </c>
      <c r="T50" s="3"/>
      <c r="U50" s="3"/>
      <c r="V50" s="3"/>
      <c r="W50" s="3"/>
      <c r="X50" s="3"/>
      <c r="Y50" s="3"/>
      <c r="Z50" s="3"/>
      <c r="AA50" s="4">
        <f t="shared" si="1"/>
        <v>0</v>
      </c>
    </row>
    <row r="51" spans="1:27" ht="58" x14ac:dyDescent="0.35">
      <c r="A51" s="3">
        <v>50</v>
      </c>
      <c r="B51" s="5">
        <v>46086</v>
      </c>
      <c r="C51" s="3" t="s">
        <v>101</v>
      </c>
      <c r="D51" s="3">
        <v>8</v>
      </c>
      <c r="E51" s="3" t="s">
        <v>28</v>
      </c>
      <c r="F51" s="3" t="s">
        <v>29</v>
      </c>
      <c r="G51" s="3" t="s">
        <v>30</v>
      </c>
      <c r="H51" s="3" t="s">
        <v>31</v>
      </c>
      <c r="I51" s="3">
        <v>4</v>
      </c>
      <c r="J51" s="3">
        <v>4</v>
      </c>
      <c r="K51" s="3">
        <v>0</v>
      </c>
      <c r="L51" s="3">
        <v>0</v>
      </c>
      <c r="M51" s="3">
        <v>0</v>
      </c>
      <c r="N51" s="3" t="s">
        <v>104</v>
      </c>
      <c r="O51" s="3">
        <v>2</v>
      </c>
      <c r="P51" s="3" t="s">
        <v>107</v>
      </c>
      <c r="Q51" s="3" t="s">
        <v>33</v>
      </c>
      <c r="R51" s="3" t="s">
        <v>34</v>
      </c>
      <c r="S51" s="3" t="s">
        <v>35</v>
      </c>
      <c r="T51" s="3"/>
      <c r="U51" s="3"/>
      <c r="V51" s="3"/>
      <c r="W51" s="3"/>
      <c r="X51" s="3"/>
      <c r="Y51" s="3"/>
      <c r="Z51" s="3"/>
      <c r="AA51" s="4">
        <f t="shared" si="1"/>
        <v>0</v>
      </c>
    </row>
    <row r="52" spans="1:27" ht="43.5" x14ac:dyDescent="0.35">
      <c r="A52" s="3">
        <v>51</v>
      </c>
      <c r="B52" s="5">
        <v>46087</v>
      </c>
      <c r="C52" s="3" t="s">
        <v>101</v>
      </c>
      <c r="D52" s="3">
        <v>8</v>
      </c>
      <c r="E52" s="3" t="s">
        <v>28</v>
      </c>
      <c r="F52" s="3" t="s">
        <v>29</v>
      </c>
      <c r="G52" s="3" t="s">
        <v>30</v>
      </c>
      <c r="H52" s="3" t="s">
        <v>31</v>
      </c>
      <c r="I52" s="3">
        <v>4</v>
      </c>
      <c r="J52" s="3">
        <v>4</v>
      </c>
      <c r="K52" s="3">
        <v>0</v>
      </c>
      <c r="L52" s="3">
        <v>0</v>
      </c>
      <c r="M52" s="3">
        <v>0</v>
      </c>
      <c r="N52" s="3" t="s">
        <v>104</v>
      </c>
      <c r="O52" s="3">
        <v>2</v>
      </c>
      <c r="P52" s="3" t="s">
        <v>108</v>
      </c>
      <c r="Q52" s="3" t="s">
        <v>33</v>
      </c>
      <c r="R52" s="3" t="s">
        <v>34</v>
      </c>
      <c r="S52" s="3" t="s">
        <v>35</v>
      </c>
      <c r="T52" s="3"/>
      <c r="U52" s="3"/>
      <c r="V52" s="3"/>
      <c r="W52" s="3"/>
      <c r="X52" s="3"/>
      <c r="Y52" s="3"/>
      <c r="Z52" s="3"/>
      <c r="AA52" s="4">
        <f t="shared" si="1"/>
        <v>0</v>
      </c>
    </row>
    <row r="53" spans="1:27" ht="87" x14ac:dyDescent="0.35">
      <c r="A53" s="3">
        <v>52</v>
      </c>
      <c r="B53" s="5">
        <v>46088</v>
      </c>
      <c r="C53" s="3" t="s">
        <v>101</v>
      </c>
      <c r="D53" s="3">
        <v>8</v>
      </c>
      <c r="E53" s="3" t="s">
        <v>28</v>
      </c>
      <c r="F53" s="3" t="s">
        <v>29</v>
      </c>
      <c r="G53" s="3" t="s">
        <v>30</v>
      </c>
      <c r="H53" s="3" t="s">
        <v>31</v>
      </c>
      <c r="I53" s="3">
        <v>8</v>
      </c>
      <c r="J53" s="3">
        <v>7</v>
      </c>
      <c r="K53" s="3">
        <v>1</v>
      </c>
      <c r="L53" s="3">
        <v>0</v>
      </c>
      <c r="M53" s="3">
        <v>0</v>
      </c>
      <c r="N53" s="3" t="s">
        <v>109</v>
      </c>
      <c r="O53" s="3">
        <v>2</v>
      </c>
      <c r="P53" s="3" t="s">
        <v>110</v>
      </c>
      <c r="Q53" s="3" t="s">
        <v>33</v>
      </c>
      <c r="R53" s="3" t="s">
        <v>34</v>
      </c>
      <c r="S53" s="3" t="s">
        <v>35</v>
      </c>
      <c r="T53" s="3"/>
      <c r="U53" s="3"/>
      <c r="V53" s="3"/>
      <c r="W53" s="3"/>
      <c r="X53" s="3"/>
      <c r="Y53" s="3"/>
      <c r="Z53" s="3"/>
      <c r="AA53" s="4">
        <f t="shared" si="1"/>
        <v>0</v>
      </c>
    </row>
    <row r="54" spans="1:27" ht="43.5" x14ac:dyDescent="0.35">
      <c r="A54" s="3">
        <v>53</v>
      </c>
      <c r="B54" s="5">
        <v>46089</v>
      </c>
      <c r="C54" s="3" t="s">
        <v>101</v>
      </c>
      <c r="D54" s="3">
        <v>8</v>
      </c>
      <c r="E54" s="3" t="s">
        <v>28</v>
      </c>
      <c r="F54" s="3" t="s">
        <v>29</v>
      </c>
      <c r="G54" s="3" t="s">
        <v>30</v>
      </c>
      <c r="H54" s="3" t="s">
        <v>31</v>
      </c>
      <c r="I54" s="3">
        <v>4</v>
      </c>
      <c r="J54" s="3">
        <v>4</v>
      </c>
      <c r="K54" s="3">
        <v>0</v>
      </c>
      <c r="L54" s="3">
        <v>0</v>
      </c>
      <c r="M54" s="3">
        <v>0</v>
      </c>
      <c r="N54" s="3" t="s">
        <v>104</v>
      </c>
      <c r="O54" s="3">
        <v>1</v>
      </c>
      <c r="P54" s="3" t="s">
        <v>84</v>
      </c>
      <c r="Q54" s="3" t="s">
        <v>33</v>
      </c>
      <c r="R54" s="3" t="s">
        <v>34</v>
      </c>
      <c r="S54" s="3" t="s">
        <v>35</v>
      </c>
      <c r="T54" s="3"/>
      <c r="U54" s="3"/>
      <c r="V54" s="3"/>
      <c r="W54" s="3"/>
      <c r="X54" s="3"/>
      <c r="Y54" s="3"/>
      <c r="Z54" s="3"/>
      <c r="AA54" s="4">
        <f t="shared" si="1"/>
        <v>0</v>
      </c>
    </row>
    <row r="55" spans="1:27" ht="87" x14ac:dyDescent="0.35">
      <c r="A55" s="3">
        <v>54</v>
      </c>
      <c r="B55" s="5">
        <v>46090</v>
      </c>
      <c r="C55" s="3" t="s">
        <v>101</v>
      </c>
      <c r="D55" s="3">
        <v>8</v>
      </c>
      <c r="E55" s="3" t="s">
        <v>28</v>
      </c>
      <c r="F55" s="3" t="s">
        <v>29</v>
      </c>
      <c r="G55" s="3" t="s">
        <v>30</v>
      </c>
      <c r="H55" s="3" t="s">
        <v>31</v>
      </c>
      <c r="I55" s="3">
        <v>4</v>
      </c>
      <c r="J55" s="3">
        <v>4</v>
      </c>
      <c r="K55" s="3">
        <v>0</v>
      </c>
      <c r="L55" s="3">
        <v>0</v>
      </c>
      <c r="M55" s="3">
        <v>0</v>
      </c>
      <c r="N55" s="3" t="s">
        <v>104</v>
      </c>
      <c r="O55" s="3">
        <v>4</v>
      </c>
      <c r="P55" s="3" t="s">
        <v>111</v>
      </c>
      <c r="Q55" s="3" t="s">
        <v>33</v>
      </c>
      <c r="R55" s="3" t="s">
        <v>34</v>
      </c>
      <c r="S55" s="3" t="s">
        <v>35</v>
      </c>
      <c r="T55" s="3"/>
      <c r="U55" s="3"/>
      <c r="V55" s="3"/>
      <c r="W55" s="3"/>
      <c r="X55" s="3"/>
      <c r="Y55" s="3"/>
      <c r="Z55" s="3"/>
      <c r="AA55" s="4">
        <f t="shared" si="1"/>
        <v>0</v>
      </c>
    </row>
    <row r="56" spans="1:27" ht="43.5" x14ac:dyDescent="0.35">
      <c r="A56" s="3">
        <v>55</v>
      </c>
      <c r="B56" s="5">
        <v>46091</v>
      </c>
      <c r="C56" s="3" t="s">
        <v>101</v>
      </c>
      <c r="D56" s="3">
        <v>8</v>
      </c>
      <c r="E56" s="3" t="s">
        <v>28</v>
      </c>
      <c r="F56" s="3" t="s">
        <v>29</v>
      </c>
      <c r="G56" s="3" t="s">
        <v>30</v>
      </c>
      <c r="H56" s="3" t="s">
        <v>31</v>
      </c>
      <c r="I56" s="3">
        <v>4</v>
      </c>
      <c r="J56" s="3">
        <v>4</v>
      </c>
      <c r="K56" s="3">
        <v>0</v>
      </c>
      <c r="L56" s="3">
        <v>0</v>
      </c>
      <c r="M56" s="3">
        <v>0</v>
      </c>
      <c r="N56" s="3" t="s">
        <v>104</v>
      </c>
      <c r="O56" s="3">
        <v>2</v>
      </c>
      <c r="P56" s="3" t="s">
        <v>112</v>
      </c>
      <c r="Q56" s="3" t="s">
        <v>33</v>
      </c>
      <c r="R56" s="3" t="s">
        <v>34</v>
      </c>
      <c r="S56" s="3" t="s">
        <v>35</v>
      </c>
      <c r="T56" s="3"/>
      <c r="U56" s="3"/>
      <c r="V56" s="3"/>
      <c r="W56" s="3"/>
      <c r="X56" s="3"/>
      <c r="Y56" s="3"/>
      <c r="Z56" s="3"/>
      <c r="AA56" s="4">
        <f t="shared" si="1"/>
        <v>0</v>
      </c>
    </row>
    <row r="57" spans="1:27" ht="58" x14ac:dyDescent="0.35">
      <c r="A57" s="3">
        <v>56</v>
      </c>
      <c r="B57" s="5">
        <v>46092</v>
      </c>
      <c r="C57" s="3" t="s">
        <v>101</v>
      </c>
      <c r="D57" s="3">
        <v>8</v>
      </c>
      <c r="E57" s="3" t="s">
        <v>28</v>
      </c>
      <c r="F57" s="3" t="s">
        <v>29</v>
      </c>
      <c r="G57" s="3" t="s">
        <v>30</v>
      </c>
      <c r="H57" s="3" t="s">
        <v>31</v>
      </c>
      <c r="I57" s="3">
        <v>8</v>
      </c>
      <c r="J57" s="3">
        <v>7</v>
      </c>
      <c r="K57" s="3">
        <v>1</v>
      </c>
      <c r="L57" s="3">
        <v>0</v>
      </c>
      <c r="M57" s="3">
        <v>0</v>
      </c>
      <c r="N57" s="3" t="s">
        <v>109</v>
      </c>
      <c r="O57" s="3">
        <v>1</v>
      </c>
      <c r="P57" s="3" t="s">
        <v>113</v>
      </c>
      <c r="Q57" s="3" t="s">
        <v>33</v>
      </c>
      <c r="R57" s="3" t="s">
        <v>34</v>
      </c>
      <c r="S57" s="3" t="s">
        <v>35</v>
      </c>
      <c r="T57" s="3"/>
      <c r="U57" s="3"/>
      <c r="V57" s="3"/>
      <c r="W57" s="3"/>
      <c r="X57" s="3"/>
      <c r="Y57" s="3"/>
      <c r="Z57" s="3"/>
      <c r="AA57" s="4">
        <f t="shared" si="1"/>
        <v>0</v>
      </c>
    </row>
    <row r="58" spans="1:27" ht="43.5" x14ac:dyDescent="0.35">
      <c r="A58" s="3">
        <v>57</v>
      </c>
      <c r="B58" s="5">
        <v>46093</v>
      </c>
      <c r="C58" s="3" t="s">
        <v>101</v>
      </c>
      <c r="D58" s="3">
        <v>9</v>
      </c>
      <c r="E58" s="3" t="s">
        <v>28</v>
      </c>
      <c r="F58" s="3" t="s">
        <v>29</v>
      </c>
      <c r="G58" s="3" t="s">
        <v>30</v>
      </c>
      <c r="H58" s="3" t="s">
        <v>31</v>
      </c>
      <c r="I58" s="3">
        <v>4</v>
      </c>
      <c r="J58" s="3">
        <v>4</v>
      </c>
      <c r="K58" s="3">
        <v>0</v>
      </c>
      <c r="L58" s="3">
        <v>0</v>
      </c>
      <c r="M58" s="3">
        <v>0</v>
      </c>
      <c r="N58" s="3" t="s">
        <v>104</v>
      </c>
      <c r="O58" s="3">
        <v>1</v>
      </c>
      <c r="P58" s="3" t="s">
        <v>61</v>
      </c>
      <c r="Q58" s="3" t="s">
        <v>33</v>
      </c>
      <c r="R58" s="3" t="s">
        <v>34</v>
      </c>
      <c r="S58" s="3" t="s">
        <v>35</v>
      </c>
      <c r="T58" s="3"/>
      <c r="U58" s="3"/>
      <c r="V58" s="3"/>
      <c r="W58" s="3"/>
      <c r="X58" s="3"/>
      <c r="Y58" s="3"/>
      <c r="Z58" s="3"/>
      <c r="AA58" s="4">
        <f t="shared" si="1"/>
        <v>0</v>
      </c>
    </row>
    <row r="59" spans="1:27" ht="43.5" x14ac:dyDescent="0.35">
      <c r="A59" s="3">
        <v>58</v>
      </c>
      <c r="B59" s="5">
        <v>46094</v>
      </c>
      <c r="C59" s="3" t="s">
        <v>101</v>
      </c>
      <c r="D59" s="3">
        <v>9</v>
      </c>
      <c r="E59" s="3" t="s">
        <v>28</v>
      </c>
      <c r="F59" s="3" t="s">
        <v>29</v>
      </c>
      <c r="G59" s="3" t="s">
        <v>30</v>
      </c>
      <c r="H59" s="3" t="s">
        <v>31</v>
      </c>
      <c r="I59" s="3">
        <v>4</v>
      </c>
      <c r="J59" s="3">
        <v>4</v>
      </c>
      <c r="K59" s="3">
        <v>0</v>
      </c>
      <c r="L59" s="3">
        <v>0</v>
      </c>
      <c r="M59" s="3">
        <v>0</v>
      </c>
      <c r="N59" s="3" t="s">
        <v>104</v>
      </c>
      <c r="O59" s="3">
        <v>2</v>
      </c>
      <c r="P59" s="3" t="s">
        <v>114</v>
      </c>
      <c r="Q59" s="3" t="s">
        <v>33</v>
      </c>
      <c r="R59" s="3" t="s">
        <v>34</v>
      </c>
      <c r="S59" s="3" t="s">
        <v>35</v>
      </c>
      <c r="T59" s="3"/>
      <c r="U59" s="3"/>
      <c r="V59" s="3"/>
      <c r="W59" s="3"/>
      <c r="X59" s="3"/>
      <c r="Y59" s="3"/>
      <c r="Z59" s="3"/>
      <c r="AA59" s="4">
        <f t="shared" si="1"/>
        <v>0</v>
      </c>
    </row>
    <row r="60" spans="1:27" ht="43.5" x14ac:dyDescent="0.35">
      <c r="A60" s="3">
        <v>59</v>
      </c>
      <c r="B60" s="5">
        <v>46095</v>
      </c>
      <c r="C60" s="3" t="s">
        <v>101</v>
      </c>
      <c r="D60" s="3">
        <v>9</v>
      </c>
      <c r="E60" s="3" t="s">
        <v>28</v>
      </c>
      <c r="F60" s="3" t="s">
        <v>29</v>
      </c>
      <c r="G60" s="3" t="s">
        <v>30</v>
      </c>
      <c r="H60" s="3" t="s">
        <v>31</v>
      </c>
      <c r="I60" s="3">
        <v>4</v>
      </c>
      <c r="J60" s="3">
        <v>4</v>
      </c>
      <c r="K60" s="3">
        <v>0</v>
      </c>
      <c r="L60" s="3">
        <v>0</v>
      </c>
      <c r="M60" s="3">
        <v>0</v>
      </c>
      <c r="N60" s="3" t="s">
        <v>104</v>
      </c>
      <c r="O60" s="3">
        <v>0</v>
      </c>
      <c r="P60" s="3"/>
      <c r="Q60" s="3" t="s">
        <v>33</v>
      </c>
      <c r="R60" s="3" t="s">
        <v>34</v>
      </c>
      <c r="S60" s="3" t="s">
        <v>35</v>
      </c>
      <c r="T60" s="3"/>
      <c r="U60" s="3"/>
      <c r="V60" s="3"/>
      <c r="W60" s="3"/>
      <c r="X60" s="3"/>
      <c r="Y60" s="3"/>
      <c r="Z60" s="3"/>
      <c r="AA60" s="4">
        <f t="shared" si="1"/>
        <v>0</v>
      </c>
    </row>
    <row r="61" spans="1:27" ht="58" x14ac:dyDescent="0.35">
      <c r="A61" s="3">
        <v>60</v>
      </c>
      <c r="B61" s="5">
        <v>46096</v>
      </c>
      <c r="C61" s="3" t="s">
        <v>101</v>
      </c>
      <c r="D61" s="3">
        <v>9</v>
      </c>
      <c r="E61" s="3" t="s">
        <v>28</v>
      </c>
      <c r="F61" s="3" t="s">
        <v>29</v>
      </c>
      <c r="G61" s="3" t="s">
        <v>30</v>
      </c>
      <c r="H61" s="3" t="s">
        <v>31</v>
      </c>
      <c r="I61" s="3">
        <v>8</v>
      </c>
      <c r="J61" s="3">
        <v>7</v>
      </c>
      <c r="K61" s="3">
        <v>1</v>
      </c>
      <c r="L61" s="3">
        <v>0</v>
      </c>
      <c r="M61" s="3">
        <v>0</v>
      </c>
      <c r="N61" s="3" t="s">
        <v>109</v>
      </c>
      <c r="O61" s="3">
        <v>4</v>
      </c>
      <c r="P61" s="3" t="s">
        <v>115</v>
      </c>
      <c r="Q61" s="3" t="s">
        <v>33</v>
      </c>
      <c r="R61" s="3" t="s">
        <v>34</v>
      </c>
      <c r="S61" s="3" t="s">
        <v>35</v>
      </c>
      <c r="T61" s="3" t="s">
        <v>116</v>
      </c>
      <c r="U61" s="3"/>
      <c r="V61" s="3"/>
      <c r="W61" s="3"/>
      <c r="X61" s="3"/>
      <c r="Y61" s="3"/>
      <c r="Z61" s="3"/>
      <c r="AA61" s="4">
        <f t="shared" si="1"/>
        <v>0</v>
      </c>
    </row>
    <row r="62" spans="1:27" ht="43.5" x14ac:dyDescent="0.35">
      <c r="A62" s="3">
        <v>61</v>
      </c>
      <c r="B62" s="5">
        <v>46097</v>
      </c>
      <c r="C62" s="3" t="s">
        <v>117</v>
      </c>
      <c r="D62" s="3">
        <v>9</v>
      </c>
      <c r="E62" s="3" t="s">
        <v>28</v>
      </c>
      <c r="F62" s="3" t="s">
        <v>29</v>
      </c>
      <c r="G62" s="3" t="s">
        <v>30</v>
      </c>
      <c r="H62" s="3" t="s">
        <v>31</v>
      </c>
      <c r="I62" s="3">
        <v>4</v>
      </c>
      <c r="J62" s="3">
        <v>4</v>
      </c>
      <c r="K62" s="3">
        <v>0</v>
      </c>
      <c r="L62" s="3">
        <v>0</v>
      </c>
      <c r="M62" s="3">
        <v>0</v>
      </c>
      <c r="N62" s="3" t="s">
        <v>104</v>
      </c>
      <c r="O62" s="3">
        <v>0</v>
      </c>
      <c r="P62" s="3"/>
      <c r="Q62" s="3" t="s">
        <v>33</v>
      </c>
      <c r="R62" s="3" t="s">
        <v>34</v>
      </c>
      <c r="S62" s="3" t="s">
        <v>35</v>
      </c>
      <c r="T62" s="3"/>
      <c r="U62" s="3"/>
      <c r="V62" s="3"/>
      <c r="W62" s="3"/>
      <c r="X62" s="3"/>
      <c r="Y62" s="3"/>
      <c r="Z62" s="3"/>
      <c r="AA62" s="4">
        <f t="shared" si="1"/>
        <v>0</v>
      </c>
    </row>
    <row r="63" spans="1:27" ht="43.5" x14ac:dyDescent="0.35">
      <c r="A63" s="3">
        <v>62</v>
      </c>
      <c r="B63" s="5">
        <v>46098</v>
      </c>
      <c r="C63" s="3" t="s">
        <v>117</v>
      </c>
      <c r="D63" s="3">
        <v>9</v>
      </c>
      <c r="E63" s="3" t="s">
        <v>28</v>
      </c>
      <c r="F63" s="3" t="s">
        <v>29</v>
      </c>
      <c r="G63" s="3" t="s">
        <v>30</v>
      </c>
      <c r="H63" s="3" t="s">
        <v>31</v>
      </c>
      <c r="I63" s="3">
        <v>4</v>
      </c>
      <c r="J63" s="3">
        <v>4</v>
      </c>
      <c r="K63" s="3">
        <v>0</v>
      </c>
      <c r="L63" s="3">
        <v>0</v>
      </c>
      <c r="M63" s="3">
        <v>0</v>
      </c>
      <c r="N63" s="3" t="s">
        <v>104</v>
      </c>
      <c r="O63" s="3">
        <v>1</v>
      </c>
      <c r="P63" s="3" t="s">
        <v>118</v>
      </c>
      <c r="Q63" s="3" t="s">
        <v>33</v>
      </c>
      <c r="R63" s="3" t="s">
        <v>34</v>
      </c>
      <c r="S63" s="3" t="s">
        <v>35</v>
      </c>
      <c r="T63" s="3"/>
      <c r="U63" s="3"/>
      <c r="V63" s="3"/>
      <c r="W63" s="3"/>
      <c r="X63" s="3"/>
      <c r="Y63" s="3"/>
      <c r="Z63" s="3"/>
      <c r="AA63" s="4">
        <f t="shared" si="1"/>
        <v>0</v>
      </c>
    </row>
    <row r="64" spans="1:27" ht="43.5" x14ac:dyDescent="0.35">
      <c r="A64" s="3">
        <v>63</v>
      </c>
      <c r="B64" s="5">
        <v>46099</v>
      </c>
      <c r="C64" s="3" t="s">
        <v>117</v>
      </c>
      <c r="D64" s="3">
        <v>9</v>
      </c>
      <c r="E64" s="3" t="s">
        <v>28</v>
      </c>
      <c r="F64" s="3" t="s">
        <v>29</v>
      </c>
      <c r="G64" s="3" t="s">
        <v>30</v>
      </c>
      <c r="H64" s="3" t="s">
        <v>31</v>
      </c>
      <c r="I64" s="3">
        <v>4</v>
      </c>
      <c r="J64" s="3">
        <v>4</v>
      </c>
      <c r="K64" s="3">
        <v>0</v>
      </c>
      <c r="L64" s="3">
        <v>0</v>
      </c>
      <c r="M64" s="3">
        <v>0</v>
      </c>
      <c r="N64" s="3" t="s">
        <v>104</v>
      </c>
      <c r="O64" s="3">
        <v>0</v>
      </c>
      <c r="P64" s="3"/>
      <c r="Q64" s="3" t="s">
        <v>33</v>
      </c>
      <c r="R64" s="3" t="s">
        <v>34</v>
      </c>
      <c r="S64" s="3" t="s">
        <v>35</v>
      </c>
      <c r="T64" s="3"/>
      <c r="U64" s="3"/>
      <c r="V64" s="3"/>
      <c r="W64" s="3"/>
      <c r="X64" s="3"/>
      <c r="Y64" s="3"/>
      <c r="Z64" s="3"/>
      <c r="AA64" s="4">
        <f t="shared" si="1"/>
        <v>0</v>
      </c>
    </row>
    <row r="65" spans="1:27" ht="43.5" x14ac:dyDescent="0.35">
      <c r="A65" s="3">
        <v>64</v>
      </c>
      <c r="B65" s="5">
        <v>46100</v>
      </c>
      <c r="C65" s="3" t="s">
        <v>117</v>
      </c>
      <c r="D65" s="3">
        <v>10</v>
      </c>
      <c r="E65" s="3" t="s">
        <v>28</v>
      </c>
      <c r="F65" s="3" t="s">
        <v>29</v>
      </c>
      <c r="G65" s="3" t="s">
        <v>30</v>
      </c>
      <c r="H65" s="3" t="s">
        <v>31</v>
      </c>
      <c r="I65" s="3">
        <v>4</v>
      </c>
      <c r="J65" s="3">
        <v>4</v>
      </c>
      <c r="K65" s="3">
        <v>0</v>
      </c>
      <c r="L65" s="3">
        <v>0</v>
      </c>
      <c r="M65" s="3">
        <v>0</v>
      </c>
      <c r="N65" s="3" t="s">
        <v>104</v>
      </c>
      <c r="O65" s="3">
        <v>2</v>
      </c>
      <c r="P65" s="3" t="s">
        <v>119</v>
      </c>
      <c r="Q65" s="3" t="s">
        <v>33</v>
      </c>
      <c r="R65" s="3" t="s">
        <v>34</v>
      </c>
      <c r="S65" s="3" t="s">
        <v>35</v>
      </c>
      <c r="T65" s="3"/>
      <c r="U65" s="3"/>
      <c r="V65" s="3"/>
      <c r="W65" s="3"/>
      <c r="X65" s="3"/>
      <c r="Y65" s="3"/>
      <c r="Z65" s="3"/>
      <c r="AA65" s="4">
        <f t="shared" si="1"/>
        <v>0</v>
      </c>
    </row>
    <row r="66" spans="1:27" ht="43.5" x14ac:dyDescent="0.35">
      <c r="A66" s="3">
        <v>65</v>
      </c>
      <c r="B66" s="5">
        <v>46101</v>
      </c>
      <c r="C66" s="3" t="s">
        <v>117</v>
      </c>
      <c r="D66" s="3">
        <v>10</v>
      </c>
      <c r="E66" s="3" t="s">
        <v>28</v>
      </c>
      <c r="F66" s="3" t="s">
        <v>29</v>
      </c>
      <c r="G66" s="3" t="s">
        <v>30</v>
      </c>
      <c r="H66" s="3" t="s">
        <v>31</v>
      </c>
      <c r="I66" s="3">
        <v>4</v>
      </c>
      <c r="J66" s="3">
        <v>4</v>
      </c>
      <c r="K66" s="3">
        <v>0</v>
      </c>
      <c r="L66" s="3">
        <v>0</v>
      </c>
      <c r="M66" s="3">
        <v>0</v>
      </c>
      <c r="N66" s="3" t="s">
        <v>104</v>
      </c>
      <c r="O66" s="3">
        <v>1</v>
      </c>
      <c r="P66" s="3" t="s">
        <v>120</v>
      </c>
      <c r="Q66" s="3" t="s">
        <v>33</v>
      </c>
      <c r="R66" s="3" t="s">
        <v>34</v>
      </c>
      <c r="S66" s="3" t="s">
        <v>35</v>
      </c>
      <c r="T66" s="3"/>
      <c r="U66" s="3"/>
      <c r="V66" s="3"/>
      <c r="W66" s="3"/>
      <c r="X66" s="3"/>
      <c r="Y66" s="3"/>
      <c r="Z66" s="3"/>
      <c r="AA66" s="4">
        <f t="shared" ref="AA66:AA76" si="2">IFERROR(COUNTIF(W66:Z66,TRUE) / IF(T66="",3,4),0)</f>
        <v>0</v>
      </c>
    </row>
    <row r="67" spans="1:27" ht="87" x14ac:dyDescent="0.35">
      <c r="A67" s="3">
        <v>66</v>
      </c>
      <c r="B67" s="5">
        <v>46102</v>
      </c>
      <c r="C67" s="3" t="s">
        <v>117</v>
      </c>
      <c r="D67" s="3">
        <v>10</v>
      </c>
      <c r="E67" s="3" t="s">
        <v>28</v>
      </c>
      <c r="F67" s="3" t="s">
        <v>29</v>
      </c>
      <c r="G67" s="3" t="s">
        <v>30</v>
      </c>
      <c r="H67" s="3" t="s">
        <v>31</v>
      </c>
      <c r="I67" s="3">
        <v>4</v>
      </c>
      <c r="J67" s="3">
        <v>4</v>
      </c>
      <c r="K67" s="3">
        <v>0</v>
      </c>
      <c r="L67" s="3">
        <v>0</v>
      </c>
      <c r="M67" s="3">
        <v>0</v>
      </c>
      <c r="N67" s="3" t="s">
        <v>104</v>
      </c>
      <c r="O67" s="3">
        <v>4</v>
      </c>
      <c r="P67" s="3" t="s">
        <v>121</v>
      </c>
      <c r="Q67" s="3" t="s">
        <v>33</v>
      </c>
      <c r="R67" s="3" t="s">
        <v>34</v>
      </c>
      <c r="S67" s="3" t="s">
        <v>35</v>
      </c>
      <c r="T67" s="3"/>
      <c r="U67" s="3"/>
      <c r="V67" s="3"/>
      <c r="W67" s="3"/>
      <c r="X67" s="3"/>
      <c r="Y67" s="3"/>
      <c r="Z67" s="3"/>
      <c r="AA67" s="4">
        <f t="shared" si="2"/>
        <v>0</v>
      </c>
    </row>
    <row r="68" spans="1:27" ht="43.5" x14ac:dyDescent="0.35">
      <c r="A68" s="3">
        <v>67</v>
      </c>
      <c r="B68" s="5">
        <v>46103</v>
      </c>
      <c r="C68" s="3" t="s">
        <v>117</v>
      </c>
      <c r="D68" s="3">
        <v>10</v>
      </c>
      <c r="E68" s="3" t="s">
        <v>28</v>
      </c>
      <c r="F68" s="3" t="s">
        <v>29</v>
      </c>
      <c r="G68" s="3" t="s">
        <v>30</v>
      </c>
      <c r="H68" s="3" t="s">
        <v>31</v>
      </c>
      <c r="I68" s="3">
        <v>4</v>
      </c>
      <c r="J68" s="3">
        <v>4</v>
      </c>
      <c r="K68" s="3">
        <v>0</v>
      </c>
      <c r="L68" s="3">
        <v>0</v>
      </c>
      <c r="M68" s="3">
        <v>0</v>
      </c>
      <c r="N68" s="3" t="s">
        <v>104</v>
      </c>
      <c r="O68" s="3">
        <v>0</v>
      </c>
      <c r="P68" s="3"/>
      <c r="Q68" s="3" t="s">
        <v>33</v>
      </c>
      <c r="R68" s="3" t="s">
        <v>34</v>
      </c>
      <c r="S68" s="3" t="s">
        <v>35</v>
      </c>
      <c r="T68" s="3"/>
      <c r="U68" s="3"/>
      <c r="V68" s="3"/>
      <c r="W68" s="3"/>
      <c r="X68" s="3"/>
      <c r="Y68" s="3"/>
      <c r="Z68" s="3"/>
      <c r="AA68" s="4">
        <f t="shared" si="2"/>
        <v>0</v>
      </c>
    </row>
    <row r="69" spans="1:27" ht="43.5" x14ac:dyDescent="0.35">
      <c r="A69" s="3">
        <v>68</v>
      </c>
      <c r="B69" s="5">
        <v>46104</v>
      </c>
      <c r="C69" s="3" t="s">
        <v>117</v>
      </c>
      <c r="D69" s="3">
        <v>10</v>
      </c>
      <c r="E69" s="3" t="s">
        <v>28</v>
      </c>
      <c r="F69" s="3" t="s">
        <v>29</v>
      </c>
      <c r="G69" s="3" t="s">
        <v>30</v>
      </c>
      <c r="H69" s="3" t="s">
        <v>31</v>
      </c>
      <c r="I69" s="3">
        <v>4</v>
      </c>
      <c r="J69" s="3">
        <v>4</v>
      </c>
      <c r="K69" s="3">
        <v>0</v>
      </c>
      <c r="L69" s="3">
        <v>0</v>
      </c>
      <c r="M69" s="3">
        <v>0</v>
      </c>
      <c r="N69" s="3" t="s">
        <v>104</v>
      </c>
      <c r="O69" s="3">
        <v>0</v>
      </c>
      <c r="P69" s="3"/>
      <c r="Q69" s="3" t="s">
        <v>33</v>
      </c>
      <c r="R69" s="3" t="s">
        <v>34</v>
      </c>
      <c r="S69" s="3" t="s">
        <v>35</v>
      </c>
      <c r="T69" s="3"/>
      <c r="U69" s="3"/>
      <c r="V69" s="3"/>
      <c r="W69" s="3"/>
      <c r="X69" s="3"/>
      <c r="Y69" s="3"/>
      <c r="Z69" s="3"/>
      <c r="AA69" s="4">
        <f t="shared" si="2"/>
        <v>0</v>
      </c>
    </row>
    <row r="70" spans="1:27" ht="43.5" x14ac:dyDescent="0.35">
      <c r="A70" s="3">
        <v>69</v>
      </c>
      <c r="B70" s="5">
        <v>46105</v>
      </c>
      <c r="C70" s="3" t="s">
        <v>117</v>
      </c>
      <c r="D70" s="3">
        <v>10</v>
      </c>
      <c r="E70" s="3" t="s">
        <v>28</v>
      </c>
      <c r="F70" s="3" t="s">
        <v>29</v>
      </c>
      <c r="G70" s="3" t="s">
        <v>30</v>
      </c>
      <c r="H70" s="3" t="s">
        <v>31</v>
      </c>
      <c r="I70" s="3">
        <v>4</v>
      </c>
      <c r="J70" s="3">
        <v>4</v>
      </c>
      <c r="K70" s="3">
        <v>0</v>
      </c>
      <c r="L70" s="3">
        <v>0</v>
      </c>
      <c r="M70" s="3">
        <v>0</v>
      </c>
      <c r="N70" s="3" t="s">
        <v>104</v>
      </c>
      <c r="O70" s="3">
        <v>0</v>
      </c>
      <c r="P70" s="3"/>
      <c r="Q70" s="3" t="s">
        <v>33</v>
      </c>
      <c r="R70" s="3" t="s">
        <v>34</v>
      </c>
      <c r="S70" s="3" t="s">
        <v>35</v>
      </c>
      <c r="T70" s="3"/>
      <c r="U70" s="3"/>
      <c r="V70" s="3"/>
      <c r="W70" s="3"/>
      <c r="X70" s="3"/>
      <c r="Y70" s="3"/>
      <c r="Z70" s="3"/>
      <c r="AA70" s="4">
        <f t="shared" si="2"/>
        <v>0</v>
      </c>
    </row>
    <row r="71" spans="1:27" ht="58" x14ac:dyDescent="0.35">
      <c r="A71" s="3">
        <v>70</v>
      </c>
      <c r="B71" s="5">
        <v>46106</v>
      </c>
      <c r="C71" s="3" t="s">
        <v>117</v>
      </c>
      <c r="D71" s="3">
        <v>10</v>
      </c>
      <c r="E71" s="3" t="s">
        <v>28</v>
      </c>
      <c r="F71" s="3" t="s">
        <v>29</v>
      </c>
      <c r="G71" s="3" t="s">
        <v>30</v>
      </c>
      <c r="H71" s="3" t="s">
        <v>31</v>
      </c>
      <c r="I71" s="3">
        <v>4</v>
      </c>
      <c r="J71" s="3">
        <v>4</v>
      </c>
      <c r="K71" s="3">
        <v>0</v>
      </c>
      <c r="L71" s="3">
        <v>0</v>
      </c>
      <c r="M71" s="3">
        <v>0</v>
      </c>
      <c r="N71" s="3" t="s">
        <v>104</v>
      </c>
      <c r="O71" s="3">
        <v>3</v>
      </c>
      <c r="P71" s="3" t="s">
        <v>122</v>
      </c>
      <c r="Q71" s="3" t="s">
        <v>33</v>
      </c>
      <c r="R71" s="3" t="s">
        <v>34</v>
      </c>
      <c r="S71" s="3" t="s">
        <v>35</v>
      </c>
      <c r="T71" s="3"/>
      <c r="U71" s="3"/>
      <c r="V71" s="3"/>
      <c r="W71" s="3"/>
      <c r="X71" s="3"/>
      <c r="Y71" s="3"/>
      <c r="Z71" s="3"/>
      <c r="AA71" s="4">
        <f t="shared" si="2"/>
        <v>0</v>
      </c>
    </row>
    <row r="72" spans="1:27" ht="43.5" x14ac:dyDescent="0.35">
      <c r="A72" s="3">
        <v>71</v>
      </c>
      <c r="B72" s="5">
        <v>46107</v>
      </c>
      <c r="C72" s="3" t="s">
        <v>117</v>
      </c>
      <c r="D72" s="3">
        <v>11</v>
      </c>
      <c r="E72" s="3" t="s">
        <v>28</v>
      </c>
      <c r="F72" s="3" t="s">
        <v>29</v>
      </c>
      <c r="G72" s="3" t="s">
        <v>30</v>
      </c>
      <c r="H72" s="3" t="s">
        <v>31</v>
      </c>
      <c r="I72" s="3">
        <v>4</v>
      </c>
      <c r="J72" s="3">
        <v>4</v>
      </c>
      <c r="K72" s="3">
        <v>0</v>
      </c>
      <c r="L72" s="3">
        <v>0</v>
      </c>
      <c r="M72" s="3">
        <v>0</v>
      </c>
      <c r="N72" s="3" t="s">
        <v>104</v>
      </c>
      <c r="O72" s="3">
        <v>0</v>
      </c>
      <c r="P72" s="3"/>
      <c r="Q72" s="3" t="s">
        <v>33</v>
      </c>
      <c r="R72" s="3" t="s">
        <v>34</v>
      </c>
      <c r="S72" s="3" t="s">
        <v>35</v>
      </c>
      <c r="T72" s="3"/>
      <c r="U72" s="3"/>
      <c r="V72" s="3"/>
      <c r="W72" s="3"/>
      <c r="X72" s="3"/>
      <c r="Y72" s="3"/>
      <c r="Z72" s="3"/>
      <c r="AA72" s="4">
        <f t="shared" si="2"/>
        <v>0</v>
      </c>
    </row>
    <row r="73" spans="1:27" ht="43.5" x14ac:dyDescent="0.35">
      <c r="A73" s="3">
        <v>72</v>
      </c>
      <c r="B73" s="5">
        <v>46108</v>
      </c>
      <c r="C73" s="3" t="s">
        <v>117</v>
      </c>
      <c r="D73" s="3">
        <v>11</v>
      </c>
      <c r="E73" s="3" t="s">
        <v>28</v>
      </c>
      <c r="F73" s="3" t="s">
        <v>29</v>
      </c>
      <c r="G73" s="3" t="s">
        <v>30</v>
      </c>
      <c r="H73" s="3" t="s">
        <v>31</v>
      </c>
      <c r="I73" s="3">
        <v>4</v>
      </c>
      <c r="J73" s="3">
        <v>4</v>
      </c>
      <c r="K73" s="3">
        <v>0</v>
      </c>
      <c r="L73" s="3">
        <v>0</v>
      </c>
      <c r="M73" s="3">
        <v>0</v>
      </c>
      <c r="N73" s="3" t="s">
        <v>104</v>
      </c>
      <c r="O73" s="3">
        <v>1</v>
      </c>
      <c r="P73" s="3" t="s">
        <v>123</v>
      </c>
      <c r="Q73" s="3" t="s">
        <v>33</v>
      </c>
      <c r="R73" s="3" t="s">
        <v>34</v>
      </c>
      <c r="S73" s="3" t="s">
        <v>35</v>
      </c>
      <c r="T73" s="3"/>
      <c r="U73" s="3"/>
      <c r="V73" s="3"/>
      <c r="W73" s="3"/>
      <c r="X73" s="3"/>
      <c r="Y73" s="3"/>
      <c r="Z73" s="3"/>
      <c r="AA73" s="4">
        <f t="shared" si="2"/>
        <v>0</v>
      </c>
    </row>
    <row r="74" spans="1:27" ht="43.5" x14ac:dyDescent="0.35">
      <c r="A74" s="3">
        <v>73</v>
      </c>
      <c r="B74" s="5">
        <v>46109</v>
      </c>
      <c r="C74" s="3" t="s">
        <v>117</v>
      </c>
      <c r="D74" s="3">
        <v>11</v>
      </c>
      <c r="E74" s="3" t="s">
        <v>28</v>
      </c>
      <c r="F74" s="3" t="s">
        <v>29</v>
      </c>
      <c r="G74" s="3" t="s">
        <v>30</v>
      </c>
      <c r="H74" s="3" t="s">
        <v>31</v>
      </c>
      <c r="I74" s="3">
        <v>4</v>
      </c>
      <c r="J74" s="3">
        <v>4</v>
      </c>
      <c r="K74" s="3">
        <v>0</v>
      </c>
      <c r="L74" s="3">
        <v>0</v>
      </c>
      <c r="M74" s="3">
        <v>0</v>
      </c>
      <c r="N74" s="3" t="s">
        <v>104</v>
      </c>
      <c r="O74" s="3">
        <v>0</v>
      </c>
      <c r="P74" s="3"/>
      <c r="Q74" s="3" t="s">
        <v>33</v>
      </c>
      <c r="R74" s="3" t="s">
        <v>34</v>
      </c>
      <c r="S74" s="3" t="s">
        <v>35</v>
      </c>
      <c r="T74" s="3"/>
      <c r="U74" s="3"/>
      <c r="V74" s="3"/>
      <c r="W74" s="3"/>
      <c r="X74" s="3"/>
      <c r="Y74" s="3"/>
      <c r="Z74" s="3"/>
      <c r="AA74" s="4">
        <f t="shared" si="2"/>
        <v>0</v>
      </c>
    </row>
    <row r="75" spans="1:27" ht="43.5" x14ac:dyDescent="0.35">
      <c r="A75" s="3">
        <v>74</v>
      </c>
      <c r="B75" s="5">
        <v>46110</v>
      </c>
      <c r="C75" s="3" t="s">
        <v>117</v>
      </c>
      <c r="D75" s="3">
        <v>11</v>
      </c>
      <c r="E75" s="3" t="s">
        <v>28</v>
      </c>
      <c r="F75" s="3" t="s">
        <v>29</v>
      </c>
      <c r="G75" s="3" t="s">
        <v>30</v>
      </c>
      <c r="H75" s="3" t="s">
        <v>31</v>
      </c>
      <c r="I75" s="3">
        <v>4</v>
      </c>
      <c r="J75" s="3">
        <v>4</v>
      </c>
      <c r="K75" s="3">
        <v>0</v>
      </c>
      <c r="L75" s="3">
        <v>0</v>
      </c>
      <c r="M75" s="3">
        <v>0</v>
      </c>
      <c r="N75" s="3" t="s">
        <v>104</v>
      </c>
      <c r="O75" s="3">
        <v>1</v>
      </c>
      <c r="P75" s="3" t="s">
        <v>118</v>
      </c>
      <c r="Q75" s="3" t="s">
        <v>33</v>
      </c>
      <c r="R75" s="3" t="s">
        <v>34</v>
      </c>
      <c r="S75" s="3" t="s">
        <v>35</v>
      </c>
      <c r="T75" s="3"/>
      <c r="U75" s="3"/>
      <c r="V75" s="3"/>
      <c r="W75" s="3"/>
      <c r="X75" s="3"/>
      <c r="Y75" s="3"/>
      <c r="Z75" s="3"/>
      <c r="AA75" s="4">
        <f t="shared" si="2"/>
        <v>0</v>
      </c>
    </row>
    <row r="76" spans="1:27" ht="72.5" x14ac:dyDescent="0.35">
      <c r="A76" s="3">
        <v>75</v>
      </c>
      <c r="B76" s="5">
        <v>46111</v>
      </c>
      <c r="C76" s="3" t="s">
        <v>117</v>
      </c>
      <c r="D76" s="3">
        <v>11</v>
      </c>
      <c r="E76" s="3" t="s">
        <v>28</v>
      </c>
      <c r="F76" s="3" t="s">
        <v>29</v>
      </c>
      <c r="G76" s="3" t="s">
        <v>30</v>
      </c>
      <c r="H76" s="3" t="s">
        <v>31</v>
      </c>
      <c r="I76" s="3">
        <v>4</v>
      </c>
      <c r="J76" s="3">
        <v>4</v>
      </c>
      <c r="K76" s="3">
        <v>0</v>
      </c>
      <c r="L76" s="3">
        <v>0</v>
      </c>
      <c r="M76" s="3">
        <v>0</v>
      </c>
      <c r="N76" s="3" t="s">
        <v>104</v>
      </c>
      <c r="O76" s="3">
        <v>4</v>
      </c>
      <c r="P76" s="3" t="s">
        <v>124</v>
      </c>
      <c r="Q76" s="3" t="s">
        <v>33</v>
      </c>
      <c r="R76" s="3" t="s">
        <v>34</v>
      </c>
      <c r="S76" s="3" t="s">
        <v>35</v>
      </c>
      <c r="T76" s="3" t="s">
        <v>125</v>
      </c>
      <c r="U76" s="3"/>
      <c r="V76" s="3"/>
      <c r="W76" s="3"/>
      <c r="X76" s="3"/>
      <c r="Y76" s="3"/>
      <c r="Z76" s="3"/>
      <c r="AA76" s="4">
        <f t="shared" si="2"/>
        <v>0</v>
      </c>
    </row>
  </sheetData>
  <conditionalFormatting sqref="AA2:AA76">
    <cfRule type="dataBar" priority="1">
      <dataBar>
        <cfvo type="num" val="0"/>
        <cfvo type="num" val="1"/>
        <color rgb="FF63BE7B"/>
      </dataBar>
    </cfRule>
  </conditionalFormatting>
  <dataValidations count="1">
    <dataValidation type="list" allowBlank="1" sqref="W2:Z76" xr:uid="{00000000-0002-0000-0000-000000000000}">
      <formula1>"TRUE,FALSE"</formula1>
    </dataValidation>
  </dataValidations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"/>
  <sheetViews>
    <sheetView workbookViewId="0">
      <pane ySplit="1" topLeftCell="A2" activePane="bottomLeft" state="frozen"/>
      <selection pane="bottomLeft"/>
    </sheetView>
  </sheetViews>
  <sheetFormatPr defaultRowHeight="14.5" x14ac:dyDescent="0.35"/>
  <sheetData>
    <row r="1" spans="1:2" x14ac:dyDescent="0.35">
      <c r="A1" s="1" t="s">
        <v>126</v>
      </c>
      <c r="B1" s="1" t="s">
        <v>127</v>
      </c>
    </row>
    <row r="2" spans="1:2" x14ac:dyDescent="0.35">
      <c r="A2" t="s">
        <v>128</v>
      </c>
      <c r="B2" s="2">
        <f>AVERAGE(Plan!AA2:'Plan'!AA76)</f>
        <v>0</v>
      </c>
    </row>
    <row r="4" spans="1:2" x14ac:dyDescent="0.35">
      <c r="A4" t="s">
        <v>129</v>
      </c>
      <c r="B4" t="s">
        <v>130</v>
      </c>
    </row>
  </sheetData>
  <conditionalFormatting sqref="B2">
    <cfRule type="dataBar" priority="1">
      <dataBar>
        <cfvo type="num" val="0"/>
        <cfvo type="num" val="1"/>
        <color rgb="FF4472C4"/>
      </dataBar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Plan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Lelya Salman</cp:lastModifiedBy>
  <dcterms:created xsi:type="dcterms:W3CDTF">2026-01-13T18:23:17Z</dcterms:created>
  <dcterms:modified xsi:type="dcterms:W3CDTF">2026-01-18T23:30:58Z</dcterms:modified>
</cp:coreProperties>
</file>